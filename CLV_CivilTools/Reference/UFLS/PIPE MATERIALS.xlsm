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/>
  <workbookPr/>
  <mc:AlternateContent xmlns:mc="http://schemas.openxmlformats.org/markup-compatibility/2006">
    <mc:Choice Requires="x15">
      <x15ac:absPath xmlns:x15ac="http://schemas.microsoft.com/office/spreadsheetml/2010/11/ac" url="https://clvo365-my.sharepoint.com/personal/mdwillis_lasvegasnevada_gov/Documents/Desktop/"/>
    </mc:Choice>
  </mc:AlternateContent>
  <xr:revisionPtr revIDLastSave="0" documentId="8_{97AABE72-ADAC-4B48-A29C-A8F64E947626}" xr6:coauthVersionLast="47" xr6:coauthVersionMax="47" xr10:uidLastSave="{00000000-0000-0000-0000-000000000000}"/>
  <bookViews>
    <workbookView xWindow="52180" yWindow="2622" windowWidth="26055" windowHeight="15555" activeTab="3" xr2:uid="{00000000-000D-0000-FFFF-FFFF00000000}"/>
  </bookViews>
  <sheets>
    <sheet name="Abreviations" sheetId="6" r:id="rId1"/>
    <sheet name="RCP" sheetId="3" r:id="rId2"/>
    <sheet name="HERCP" sheetId="5" r:id="rId3"/>
    <sheet name="PVC" sheetId="1" r:id="rId4"/>
    <sheet name="C900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3" i="3"/>
  <c r="K4" i="2"/>
  <c r="K5" i="2"/>
  <c r="K6" i="2"/>
  <c r="K7" i="2"/>
  <c r="K8" i="2"/>
  <c r="K9" i="2"/>
  <c r="K10" i="2"/>
  <c r="K11" i="2"/>
  <c r="K12" i="2"/>
  <c r="K13" i="2"/>
  <c r="K14" i="2"/>
  <c r="K3" i="2"/>
  <c r="K13" i="1"/>
  <c r="K14" i="1"/>
  <c r="K15" i="1"/>
  <c r="K16" i="1"/>
  <c r="K17" i="1"/>
  <c r="K19" i="1"/>
  <c r="K20" i="1"/>
  <c r="K21" i="1"/>
  <c r="K22" i="1"/>
  <c r="K23" i="1"/>
  <c r="K24" i="1"/>
  <c r="K25" i="1"/>
  <c r="K26" i="1"/>
  <c r="K12" i="1"/>
  <c r="Q4" i="2" l="1"/>
  <c r="Q5" i="2"/>
  <c r="Q6" i="2"/>
  <c r="Q7" i="2"/>
  <c r="Q8" i="2"/>
  <c r="Q9" i="2"/>
  <c r="Q10" i="2"/>
  <c r="Q11" i="2"/>
  <c r="Q12" i="2"/>
  <c r="Q13" i="2"/>
  <c r="Q14" i="2"/>
  <c r="Q3" i="2"/>
  <c r="N4" i="2"/>
  <c r="N5" i="2"/>
  <c r="N6" i="2"/>
  <c r="N7" i="2"/>
  <c r="N8" i="2"/>
  <c r="N9" i="2"/>
  <c r="N10" i="2"/>
  <c r="N11" i="2"/>
  <c r="N12" i="2"/>
  <c r="N13" i="2"/>
  <c r="N14" i="2"/>
  <c r="N3" i="2"/>
  <c r="Q4" i="1"/>
  <c r="Q5" i="1"/>
  <c r="Q6" i="1"/>
  <c r="Q7" i="1"/>
  <c r="Q8" i="1"/>
  <c r="Q9" i="1"/>
  <c r="Q10" i="1"/>
  <c r="Q12" i="1"/>
  <c r="Q13" i="1"/>
  <c r="Q14" i="1"/>
  <c r="Q15" i="1"/>
  <c r="Q16" i="1"/>
  <c r="Q17" i="1"/>
  <c r="Q19" i="1"/>
  <c r="Q20" i="1"/>
  <c r="Q21" i="1"/>
  <c r="Q22" i="1"/>
  <c r="Q23" i="1"/>
  <c r="Q24" i="1"/>
  <c r="Q25" i="1"/>
  <c r="Q26" i="1"/>
  <c r="Q3" i="1"/>
  <c r="N20" i="1"/>
  <c r="N21" i="1"/>
  <c r="N22" i="1"/>
  <c r="N23" i="1"/>
  <c r="N24" i="1"/>
  <c r="N25" i="1"/>
  <c r="N26" i="1"/>
  <c r="N19" i="1"/>
  <c r="N13" i="1"/>
  <c r="N14" i="1"/>
  <c r="N15" i="1"/>
  <c r="N16" i="1"/>
  <c r="N17" i="1"/>
  <c r="N12" i="1"/>
  <c r="N4" i="1"/>
  <c r="N5" i="1"/>
  <c r="N6" i="1"/>
  <c r="N7" i="1"/>
  <c r="N8" i="1"/>
  <c r="N9" i="1"/>
  <c r="N10" i="1"/>
  <c r="N3" i="1"/>
  <c r="O4" i="3" l="1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3" i="3"/>
  <c r="I4" i="5" l="1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3" i="5"/>
  <c r="I12" i="3"/>
  <c r="I18" i="3"/>
  <c r="I19" i="3"/>
  <c r="I3" i="3"/>
  <c r="H19" i="3"/>
  <c r="H3" i="3"/>
  <c r="G4" i="3"/>
  <c r="G5" i="3"/>
  <c r="G6" i="3"/>
  <c r="G7" i="3"/>
  <c r="G8" i="3"/>
  <c r="G19" i="3"/>
  <c r="G3" i="3"/>
  <c r="D4" i="3"/>
  <c r="K4" i="3" s="1"/>
  <c r="D5" i="3"/>
  <c r="K5" i="3" s="1"/>
  <c r="D6" i="3"/>
  <c r="K6" i="3" s="1"/>
  <c r="D7" i="3"/>
  <c r="K7" i="3" s="1"/>
  <c r="D8" i="3"/>
  <c r="K8" i="3" s="1"/>
  <c r="D9" i="3"/>
  <c r="K9" i="3" s="1"/>
  <c r="D10" i="3"/>
  <c r="K10" i="3" s="1"/>
  <c r="D11" i="3"/>
  <c r="K11" i="3" s="1"/>
  <c r="D12" i="3"/>
  <c r="K12" i="3" s="1"/>
  <c r="D19" i="3"/>
  <c r="K19" i="3" s="1"/>
  <c r="D3" i="3"/>
  <c r="K3" i="3" s="1"/>
  <c r="E4" i="3"/>
  <c r="H4" i="3" s="1"/>
  <c r="E5" i="3"/>
  <c r="H5" i="3" s="1"/>
  <c r="E6" i="3"/>
  <c r="H6" i="3" s="1"/>
  <c r="E7" i="3"/>
  <c r="H7" i="3" s="1"/>
  <c r="E8" i="3"/>
  <c r="H8" i="3" s="1"/>
  <c r="E9" i="3"/>
  <c r="G9" i="3" s="1"/>
  <c r="E10" i="3"/>
  <c r="H10" i="3" s="1"/>
  <c r="E11" i="3"/>
  <c r="H11" i="3" s="1"/>
  <c r="E12" i="3"/>
  <c r="G12" i="3" s="1"/>
  <c r="E13" i="3"/>
  <c r="G13" i="3" s="1"/>
  <c r="E14" i="3"/>
  <c r="D14" i="3" s="1"/>
  <c r="K14" i="3" s="1"/>
  <c r="E15" i="3"/>
  <c r="D15" i="3" s="1"/>
  <c r="K15" i="3" s="1"/>
  <c r="E16" i="3"/>
  <c r="H16" i="3" s="1"/>
  <c r="E17" i="3"/>
  <c r="D17" i="3" s="1"/>
  <c r="K17" i="3" s="1"/>
  <c r="E18" i="3"/>
  <c r="H18" i="3" s="1"/>
  <c r="E19" i="3"/>
  <c r="E3" i="3"/>
  <c r="G4" i="1"/>
  <c r="G5" i="1"/>
  <c r="G6" i="1"/>
  <c r="G7" i="1"/>
  <c r="G8" i="1"/>
  <c r="G9" i="1"/>
  <c r="G10" i="1"/>
  <c r="G3" i="1"/>
  <c r="F4" i="1"/>
  <c r="H4" i="1" s="1"/>
  <c r="F5" i="1"/>
  <c r="I5" i="1" s="1"/>
  <c r="F6" i="1"/>
  <c r="H6" i="1" s="1"/>
  <c r="F7" i="1"/>
  <c r="I7" i="1" s="1"/>
  <c r="F8" i="1"/>
  <c r="H8" i="1" s="1"/>
  <c r="F9" i="1"/>
  <c r="I9" i="1" s="1"/>
  <c r="F10" i="1"/>
  <c r="I10" i="1" s="1"/>
  <c r="F3" i="1"/>
  <c r="I3" i="1" s="1"/>
  <c r="I16" i="3" l="1"/>
  <c r="D13" i="3"/>
  <c r="K13" i="3" s="1"/>
  <c r="I14" i="3"/>
  <c r="I11" i="3"/>
  <c r="I15" i="3"/>
  <c r="G18" i="3"/>
  <c r="H12" i="3"/>
  <c r="I17" i="3"/>
  <c r="I13" i="3"/>
  <c r="H14" i="3"/>
  <c r="H13" i="3"/>
  <c r="G16" i="3"/>
  <c r="I6" i="3"/>
  <c r="I4" i="3"/>
  <c r="D18" i="3"/>
  <c r="K18" i="3" s="1"/>
  <c r="D16" i="3"/>
  <c r="K16" i="3" s="1"/>
  <c r="G11" i="3"/>
  <c r="H17" i="3"/>
  <c r="H15" i="3"/>
  <c r="I8" i="3"/>
  <c r="G17" i="3"/>
  <c r="I7" i="3"/>
  <c r="G15" i="3"/>
  <c r="I5" i="3"/>
  <c r="H9" i="3"/>
  <c r="G10" i="3"/>
  <c r="I10" i="3"/>
  <c r="I9" i="3"/>
  <c r="G14" i="3"/>
  <c r="P7" i="1"/>
  <c r="O7" i="1"/>
  <c r="O5" i="1"/>
  <c r="P5" i="1"/>
  <c r="O3" i="1"/>
  <c r="P3" i="1"/>
  <c r="I8" i="1"/>
  <c r="O10" i="1"/>
  <c r="P10" i="1"/>
  <c r="I6" i="1"/>
  <c r="O9" i="1"/>
  <c r="P9" i="1"/>
  <c r="I4" i="1"/>
  <c r="H3" i="1"/>
  <c r="H10" i="1"/>
  <c r="H9" i="1"/>
  <c r="H7" i="1"/>
  <c r="H5" i="1"/>
  <c r="I12" i="2"/>
  <c r="G4" i="2"/>
  <c r="G5" i="2"/>
  <c r="G6" i="2"/>
  <c r="G7" i="2"/>
  <c r="G8" i="2"/>
  <c r="G9" i="2"/>
  <c r="G10" i="2"/>
  <c r="G11" i="2"/>
  <c r="G12" i="2"/>
  <c r="G13" i="2"/>
  <c r="G14" i="2"/>
  <c r="G3" i="2"/>
  <c r="F4" i="2"/>
  <c r="F5" i="2"/>
  <c r="F6" i="2"/>
  <c r="F7" i="2"/>
  <c r="F8" i="2"/>
  <c r="F9" i="2"/>
  <c r="F10" i="2"/>
  <c r="F11" i="2"/>
  <c r="F12" i="2"/>
  <c r="F13" i="2"/>
  <c r="F14" i="2"/>
  <c r="F3" i="2"/>
  <c r="I7" i="2" l="1"/>
  <c r="L7" i="2"/>
  <c r="H6" i="2"/>
  <c r="L6" i="2"/>
  <c r="I9" i="2"/>
  <c r="L9" i="2"/>
  <c r="I8" i="2"/>
  <c r="L8" i="2"/>
  <c r="H5" i="2"/>
  <c r="L5" i="2"/>
  <c r="H4" i="2"/>
  <c r="L4" i="2"/>
  <c r="I3" i="2"/>
  <c r="P3" i="2" s="1"/>
  <c r="L3" i="2"/>
  <c r="H13" i="2"/>
  <c r="L13" i="2"/>
  <c r="H11" i="2"/>
  <c r="L11" i="2"/>
  <c r="H14" i="2"/>
  <c r="L14" i="2"/>
  <c r="H12" i="2"/>
  <c r="L12" i="2"/>
  <c r="I10" i="2"/>
  <c r="L10" i="2"/>
  <c r="I11" i="2"/>
  <c r="O12" i="2"/>
  <c r="P12" i="2"/>
  <c r="I5" i="2"/>
  <c r="I6" i="2"/>
  <c r="I4" i="2"/>
  <c r="P10" i="2"/>
  <c r="O10" i="2"/>
  <c r="O8" i="2"/>
  <c r="P8" i="2"/>
  <c r="I13" i="2"/>
  <c r="P9" i="2"/>
  <c r="O9" i="2"/>
  <c r="O7" i="2"/>
  <c r="P7" i="2"/>
  <c r="I14" i="2"/>
  <c r="P8" i="1"/>
  <c r="O8" i="1"/>
  <c r="O4" i="1"/>
  <c r="P4" i="1"/>
  <c r="O6" i="1"/>
  <c r="P6" i="1"/>
  <c r="H10" i="2"/>
  <c r="H9" i="2"/>
  <c r="H3" i="2"/>
  <c r="H8" i="2"/>
  <c r="H7" i="2"/>
  <c r="G20" i="1"/>
  <c r="G21" i="1"/>
  <c r="G22" i="1"/>
  <c r="G23" i="1"/>
  <c r="G24" i="1"/>
  <c r="G25" i="1"/>
  <c r="G26" i="1"/>
  <c r="G19" i="1"/>
  <c r="G13" i="1"/>
  <c r="G14" i="1"/>
  <c r="G15" i="1"/>
  <c r="G16" i="1"/>
  <c r="G17" i="1"/>
  <c r="G12" i="1"/>
  <c r="F26" i="1"/>
  <c r="F25" i="1"/>
  <c r="F20" i="1"/>
  <c r="F21" i="1"/>
  <c r="F22" i="1"/>
  <c r="F23" i="1"/>
  <c r="F24" i="1"/>
  <c r="F19" i="1"/>
  <c r="F13" i="1"/>
  <c r="F14" i="1"/>
  <c r="F15" i="1"/>
  <c r="F16" i="1"/>
  <c r="F17" i="1"/>
  <c r="F12" i="1"/>
  <c r="H12" i="1" l="1"/>
  <c r="L12" i="1"/>
  <c r="H16" i="1"/>
  <c r="L16" i="1"/>
  <c r="O3" i="2"/>
  <c r="H19" i="1"/>
  <c r="L19" i="1"/>
  <c r="H22" i="1"/>
  <c r="L22" i="1"/>
  <c r="I14" i="1"/>
  <c r="P14" i="1" s="1"/>
  <c r="L14" i="1"/>
  <c r="H17" i="1"/>
  <c r="L17" i="1"/>
  <c r="H15" i="1"/>
  <c r="L15" i="1"/>
  <c r="I13" i="1"/>
  <c r="P13" i="1" s="1"/>
  <c r="L13" i="1"/>
  <c r="H24" i="1"/>
  <c r="L24" i="1"/>
  <c r="H23" i="1"/>
  <c r="L23" i="1"/>
  <c r="I21" i="1"/>
  <c r="O21" i="1" s="1"/>
  <c r="L21" i="1"/>
  <c r="I20" i="1"/>
  <c r="P20" i="1" s="1"/>
  <c r="L20" i="1"/>
  <c r="H25" i="1"/>
  <c r="L25" i="1"/>
  <c r="H26" i="1"/>
  <c r="L26" i="1"/>
  <c r="O5" i="2"/>
  <c r="P5" i="2"/>
  <c r="P13" i="2"/>
  <c r="O13" i="2"/>
  <c r="O14" i="2"/>
  <c r="P14" i="2"/>
  <c r="O4" i="2"/>
  <c r="P4" i="2"/>
  <c r="O6" i="2"/>
  <c r="P6" i="2"/>
  <c r="P11" i="2"/>
  <c r="O11" i="2"/>
  <c r="O20" i="1"/>
  <c r="H14" i="1"/>
  <c r="H21" i="1"/>
  <c r="H13" i="1"/>
  <c r="H20" i="1"/>
  <c r="I16" i="1"/>
  <c r="I19" i="1"/>
  <c r="I26" i="1"/>
  <c r="I12" i="1"/>
  <c r="I25" i="1"/>
  <c r="I17" i="1"/>
  <c r="I24" i="1"/>
  <c r="I23" i="1"/>
  <c r="I15" i="1"/>
  <c r="I22" i="1"/>
  <c r="P21" i="1" l="1"/>
  <c r="O14" i="1"/>
  <c r="O13" i="1"/>
  <c r="O12" i="1"/>
  <c r="P12" i="1"/>
  <c r="O26" i="1"/>
  <c r="P26" i="1"/>
  <c r="P22" i="1"/>
  <c r="O22" i="1"/>
  <c r="O19" i="1"/>
  <c r="P19" i="1"/>
  <c r="P15" i="1"/>
  <c r="O15" i="1"/>
  <c r="P16" i="1"/>
  <c r="O16" i="1"/>
  <c r="P23" i="1"/>
  <c r="O23" i="1"/>
  <c r="O24" i="1"/>
  <c r="P24" i="1"/>
  <c r="O17" i="1"/>
  <c r="P17" i="1"/>
  <c r="O25" i="1"/>
  <c r="P25" i="1"/>
</calcChain>
</file>

<file path=xl/sharedStrings.xml><?xml version="1.0" encoding="utf-8"?>
<sst xmlns="http://schemas.openxmlformats.org/spreadsheetml/2006/main" count="146" uniqueCount="68">
  <si>
    <t>Nom. Size</t>
  </si>
  <si>
    <t>Material</t>
  </si>
  <si>
    <t>Wall Thickness (IN)</t>
  </si>
  <si>
    <t>Year</t>
  </si>
  <si>
    <t>Top to Center (FT)</t>
  </si>
  <si>
    <t>Top to Invert   (FT)</t>
  </si>
  <si>
    <t>PVC</t>
  </si>
  <si>
    <t>O.D          (IN)</t>
  </si>
  <si>
    <t>I.D.           (IN)</t>
  </si>
  <si>
    <t>Top to Crown   (FT)</t>
  </si>
  <si>
    <t>C900</t>
  </si>
  <si>
    <t>Westlake AWWA C900 (DR-25)</t>
  </si>
  <si>
    <t>RCP</t>
  </si>
  <si>
    <t>Rinker - Reinforced Concrete Pipe</t>
  </si>
  <si>
    <t>Round Equiv.</t>
  </si>
  <si>
    <t>Span  Inner  (IN)</t>
  </si>
  <si>
    <t>Rise Inner  (IN)</t>
  </si>
  <si>
    <t>Rise    Outer      (IN)</t>
  </si>
  <si>
    <t>Rinker -Horizontal Elliptical Reinforced Concrete Pipe</t>
  </si>
  <si>
    <t>Span  Outer         (IN)</t>
  </si>
  <si>
    <t>ACP</t>
  </si>
  <si>
    <t>CCFRPM</t>
  </si>
  <si>
    <t>CI</t>
  </si>
  <si>
    <t>CIP</t>
  </si>
  <si>
    <t>CLSM</t>
  </si>
  <si>
    <t>CPVC</t>
  </si>
  <si>
    <t>DIP</t>
  </si>
  <si>
    <t>HDPE</t>
  </si>
  <si>
    <t>MLCP</t>
  </si>
  <si>
    <t>NRCP</t>
  </si>
  <si>
    <t>PE</t>
  </si>
  <si>
    <t>RCB</t>
  </si>
  <si>
    <t>SCCP</t>
  </si>
  <si>
    <t>STL</t>
  </si>
  <si>
    <t>VCP</t>
  </si>
  <si>
    <t>WSP</t>
  </si>
  <si>
    <t>Abreviation</t>
  </si>
  <si>
    <t>Description</t>
  </si>
  <si>
    <t xml:space="preserve">  Asbestos Cement Pipe</t>
  </si>
  <si>
    <t xml:space="preserve">  Centrifugally Cast Fiverglass Reinforced Polymer Mortar</t>
  </si>
  <si>
    <t xml:space="preserve">  Cast Iron</t>
  </si>
  <si>
    <t xml:space="preserve">  Cast Iron Pipe</t>
  </si>
  <si>
    <t xml:space="preserve">  Corrugated Metal Pipe</t>
  </si>
  <si>
    <t xml:space="preserve">  Controlled Low Strength Material (Slurry)</t>
  </si>
  <si>
    <t xml:space="preserve">  Chlorinated Polyvinyl Chloride Pipe</t>
  </si>
  <si>
    <t xml:space="preserve">  High Density Polyethylene</t>
  </si>
  <si>
    <t xml:space="preserve">  Non-reinforced Concrete Pipe</t>
  </si>
  <si>
    <t xml:space="preserve">  Polyethylene</t>
  </si>
  <si>
    <t xml:space="preserve">  Polyvinyl Chloride Pipe</t>
  </si>
  <si>
    <t xml:space="preserve">  Reinforced Concrete Pipe</t>
  </si>
  <si>
    <t xml:space="preserve">  Reinforced Concrete Box</t>
  </si>
  <si>
    <t xml:space="preserve">  Steel Cylinder Concrete Pipe</t>
  </si>
  <si>
    <t xml:space="preserve">  Steel</t>
  </si>
  <si>
    <t xml:space="preserve">  Vetrified Clay Pipe</t>
  </si>
  <si>
    <t xml:space="preserve">  Welded Steel Pipe</t>
  </si>
  <si>
    <t xml:space="preserve">  Mortar Lined and Coaded Steel Pipe</t>
  </si>
  <si>
    <t>Lisp Invert (FT)</t>
  </si>
  <si>
    <t>Nom Size (FT)</t>
  </si>
  <si>
    <t>Part WTH   (IN)</t>
  </si>
  <si>
    <t>Lisp CNTR</t>
  </si>
  <si>
    <t>Lisp    INV</t>
  </si>
  <si>
    <t>Nom  Size (FT)</t>
  </si>
  <si>
    <t>Part  WTH   (IN)</t>
  </si>
  <si>
    <t>I.D.     (FT)</t>
  </si>
  <si>
    <t>O.D.    (FT)</t>
  </si>
  <si>
    <t>PVC - Westlake ASTM D1785 (SCH 80)</t>
  </si>
  <si>
    <t>PVC - Westlake ASTM D3034</t>
  </si>
  <si>
    <t>PVC - Westlake ASTM F679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</si>
</sst>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1E6E7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2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2" fillId="2" borderId="6" xfId="0" applyNumberFormat="1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4" fontId="2" fillId="2" borderId="8" xfId="0" applyNumberFormat="1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2" fillId="0" borderId="1" xfId="0" applyNumberFormat="1" applyFont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1" fillId="2" borderId="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 vertical="center"/>
    </xf>
    <xf numFmtId="1" fontId="2" fillId="2" borderId="1" xfId="0" applyNumberFormat="1" applyFont="1" applyFill="1" applyBorder="1" applyAlignment="1">
      <alignment horizontal="center" vertical="center"/>
    </xf>
    <xf numFmtId="164" fontId="1" fillId="2" borderId="21" xfId="0" applyNumberFormat="1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164" fontId="2" fillId="0" borderId="22" xfId="0" applyNumberFormat="1" applyFont="1" applyBorder="1" applyAlignment="1">
      <alignment horizontal="center" vertical="center"/>
    </xf>
    <xf numFmtId="164" fontId="2" fillId="2" borderId="23" xfId="0" applyNumberFormat="1" applyFont="1" applyFill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5" fontId="1" fillId="2" borderId="21" xfId="0" applyNumberFormat="1" applyFont="1" applyFill="1" applyBorder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 wrapText="1"/>
    </xf>
    <xf numFmtId="165" fontId="2" fillId="0" borderId="25" xfId="0" applyNumberFormat="1" applyFont="1" applyBorder="1" applyAlignment="1">
      <alignment horizontal="center" vertical="center"/>
    </xf>
    <xf numFmtId="165" fontId="2" fillId="2" borderId="15" xfId="0" applyNumberFormat="1" applyFont="1" applyFill="1" applyBorder="1" applyAlignment="1">
      <alignment horizontal="center" vertical="center"/>
    </xf>
    <xf numFmtId="165" fontId="2" fillId="0" borderId="15" xfId="0" applyNumberFormat="1" applyFont="1" applyBorder="1" applyAlignment="1">
      <alignment horizontal="center" vertical="center"/>
    </xf>
    <xf numFmtId="165" fontId="2" fillId="2" borderId="26" xfId="0" applyNumberFormat="1" applyFont="1" applyFill="1" applyBorder="1" applyAlignment="1">
      <alignment horizontal="center" vertical="center"/>
    </xf>
    <xf numFmtId="164" fontId="2" fillId="0" borderId="25" xfId="0" applyNumberFormat="1" applyFont="1" applyBorder="1" applyAlignment="1">
      <alignment horizontal="center" vertical="center"/>
    </xf>
    <xf numFmtId="164" fontId="2" fillId="2" borderId="15" xfId="0" applyNumberFormat="1" applyFont="1" applyFill="1" applyBorder="1" applyAlignment="1">
      <alignment horizontal="center" vertical="center"/>
    </xf>
    <xf numFmtId="164" fontId="2" fillId="0" borderId="15" xfId="0" applyNumberFormat="1" applyFont="1" applyBorder="1" applyAlignment="1">
      <alignment horizontal="center" vertical="center"/>
    </xf>
    <xf numFmtId="164" fontId="2" fillId="2" borderId="26" xfId="0" applyNumberFormat="1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165" fontId="2" fillId="2" borderId="30" xfId="0" applyNumberFormat="1" applyFont="1" applyFill="1" applyBorder="1" applyAlignment="1">
      <alignment horizontal="center" vertical="center"/>
    </xf>
    <xf numFmtId="164" fontId="2" fillId="2" borderId="30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65" fontId="2" fillId="0" borderId="22" xfId="0" applyNumberFormat="1" applyFont="1" applyBorder="1" applyAlignment="1">
      <alignment horizontal="center" vertical="center"/>
    </xf>
    <xf numFmtId="165" fontId="2" fillId="0" borderId="23" xfId="0" applyNumberFormat="1" applyFont="1" applyBorder="1" applyAlignment="1">
      <alignment horizontal="center" vertical="center"/>
    </xf>
    <xf numFmtId="165" fontId="2" fillId="2" borderId="23" xfId="0" applyNumberFormat="1" applyFont="1" applyFill="1" applyBorder="1" applyAlignment="1">
      <alignment horizontal="center" vertical="center"/>
    </xf>
    <xf numFmtId="165" fontId="2" fillId="2" borderId="24" xfId="0" applyNumberFormat="1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/>
    </xf>
    <xf numFmtId="164" fontId="2" fillId="2" borderId="17" xfId="0" applyNumberFormat="1" applyFont="1" applyFill="1" applyBorder="1" applyAlignment="1">
      <alignment horizontal="center" vertical="center"/>
    </xf>
    <xf numFmtId="164" fontId="2" fillId="0" borderId="18" xfId="0" applyNumberFormat="1" applyFont="1" applyBorder="1" applyAlignment="1">
      <alignment horizontal="left" vertical="center"/>
    </xf>
    <xf numFmtId="164" fontId="2" fillId="0" borderId="19" xfId="0" applyNumberFormat="1" applyFont="1" applyBorder="1" applyAlignment="1">
      <alignment horizontal="left" vertical="center"/>
    </xf>
    <xf numFmtId="164" fontId="2" fillId="0" borderId="20" xfId="0" applyNumberFormat="1" applyFont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left" vertical="center"/>
    </xf>
    <xf numFmtId="164" fontId="2" fillId="2" borderId="6" xfId="0" applyNumberFormat="1" applyFont="1" applyFill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164" fontId="2" fillId="0" borderId="6" xfId="0" applyNumberFormat="1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4" fontId="2" fillId="2" borderId="8" xfId="0" applyNumberFormat="1" applyFont="1" applyFill="1" applyBorder="1" applyAlignment="1">
      <alignment horizontal="left" vertical="center"/>
    </xf>
    <xf numFmtId="164" fontId="2" fillId="2" borderId="9" xfId="0" applyNumberFormat="1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164" fontId="1" fillId="2" borderId="14" xfId="0" applyNumberFormat="1" applyFont="1" applyFill="1" applyBorder="1" applyAlignment="1">
      <alignment horizontal="center" vertical="center"/>
    </xf>
    <xf numFmtId="0" fontId="3" fillId="0" borderId="15" xfId="1" applyBorder="1" applyAlignment="1">
      <alignment horizontal="center" vertical="center"/>
    </xf>
    <xf numFmtId="0" fontId="3" fillId="0" borderId="16" xfId="1" applyBorder="1" applyAlignment="1">
      <alignment horizontal="center" vertical="center"/>
    </xf>
    <xf numFmtId="0" fontId="3" fillId="0" borderId="17" xfId="1" applyBorder="1" applyAlignment="1">
      <alignment horizontal="center" vertical="center"/>
    </xf>
    <xf numFmtId="0" fontId="3" fillId="0" borderId="5" xfId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3" fillId="0" borderId="5" xfId="1" applyBorder="1" applyAlignment="1">
      <alignment horizontal="center" vertical="center" wrapText="1"/>
    </xf>
    <xf numFmtId="0" fontId="3" fillId="0" borderId="1" xfId="1" applyBorder="1" applyAlignment="1">
      <alignment horizontal="center" vertical="center" wrapText="1"/>
    </xf>
    <xf numFmtId="0" fontId="3" fillId="0" borderId="6" xfId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1E6E7"/>
      <color rgb="FFE0F2F4"/>
      <color rgb="FFE9F3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rinkerpipe.com/wp-content/uploads/001.pdf" TargetMode="External"/><Relationship Id="rId1" Type="http://schemas.openxmlformats.org/officeDocument/2006/relationships/hyperlink" Target="https://www.rinkerpipe.com/wp-content/uploads/001.pd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rinkerpipe.com/wp-content/uploads/001.pdf" TargetMode="External"/><Relationship Id="rId1" Type="http://schemas.openxmlformats.org/officeDocument/2006/relationships/hyperlink" Target="https://www.rinkerpipe.com/wp-content/uploads/001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stlakepipe.com/sites/default/files/media/PL-PS-001-US-EN-0522.1_D1785-D2665-Sch40-Sch80.pdf" TargetMode="External"/><Relationship Id="rId2" Type="http://schemas.openxmlformats.org/officeDocument/2006/relationships/hyperlink" Target="https://www.westlakepipe.com/sites/default/files/media/MU-PS-005-US-EN-0522.1_F679-IB-PVC-Gravity-Sewer-Pipe.pdf" TargetMode="External"/><Relationship Id="rId1" Type="http://schemas.openxmlformats.org/officeDocument/2006/relationships/hyperlink" Target="https://www.westlakepipe.com/sites/default/files/media/MU-PS-004-US-EN-0522.1_D3034-IB-PVC-Gravity-Sewer-Pipe.pdf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westlakepipe.com/sites/default/files/media/MU-PS-001-US-EN-0522.1_C900-IB-PVC-Pressure-Pipe_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09"/>
  <sheetViews>
    <sheetView workbookViewId="0">
      <selection activeCell="N16" sqref="N16"/>
    </sheetView>
  </sheetViews>
  <sheetFormatPr defaultColWidth="8.75" defaultRowHeight="15.15" customHeight="1" x14ac:dyDescent="0.25"/>
  <cols>
    <col min="1" max="1" width="10" style="2" customWidth="1"/>
    <col min="2" max="3" width="8.75" style="2"/>
    <col min="4" max="9" width="11" style="4" customWidth="1"/>
    <col min="10" max="16384" width="8.75" style="2"/>
  </cols>
  <sheetData>
    <row r="1" spans="1:9" ht="25" customHeight="1" thickBot="1" x14ac:dyDescent="0.3">
      <c r="A1" s="99" t="s">
        <v>36</v>
      </c>
      <c r="B1" s="100"/>
      <c r="C1" s="100"/>
      <c r="D1" s="101" t="s">
        <v>37</v>
      </c>
      <c r="E1" s="101"/>
      <c r="F1" s="101"/>
      <c r="G1" s="101"/>
      <c r="H1" s="101"/>
      <c r="I1" s="102"/>
    </row>
    <row r="2" spans="1:9" ht="25" customHeight="1" x14ac:dyDescent="0.25">
      <c r="A2" s="89" t="s">
        <v>20</v>
      </c>
      <c r="B2" s="90"/>
      <c r="C2" s="90"/>
      <c r="D2" s="82" t="s">
        <v>38</v>
      </c>
      <c r="E2" s="83"/>
      <c r="F2" s="83"/>
      <c r="G2" s="83"/>
      <c r="H2" s="83"/>
      <c r="I2" s="84"/>
    </row>
    <row r="3" spans="1:9" ht="25" customHeight="1" x14ac:dyDescent="0.25">
      <c r="A3" s="91" t="s">
        <v>21</v>
      </c>
      <c r="B3" s="92"/>
      <c r="C3" s="92"/>
      <c r="D3" s="85" t="s">
        <v>39</v>
      </c>
      <c r="E3" s="85"/>
      <c r="F3" s="85"/>
      <c r="G3" s="85"/>
      <c r="H3" s="85"/>
      <c r="I3" s="86"/>
    </row>
    <row r="4" spans="1:9" ht="25" customHeight="1" x14ac:dyDescent="0.25">
      <c r="A4" s="93" t="s">
        <v>22</v>
      </c>
      <c r="B4" s="94"/>
      <c r="C4" s="94"/>
      <c r="D4" s="87" t="s">
        <v>40</v>
      </c>
      <c r="E4" s="87"/>
      <c r="F4" s="87"/>
      <c r="G4" s="87"/>
      <c r="H4" s="87"/>
      <c r="I4" s="88"/>
    </row>
    <row r="5" spans="1:9" ht="25" customHeight="1" x14ac:dyDescent="0.25">
      <c r="A5" s="91" t="s">
        <v>23</v>
      </c>
      <c r="B5" s="92"/>
      <c r="C5" s="92"/>
      <c r="D5" s="85" t="s">
        <v>41</v>
      </c>
      <c r="E5" s="85"/>
      <c r="F5" s="85"/>
      <c r="G5" s="85"/>
      <c r="H5" s="85"/>
      <c r="I5" s="86"/>
    </row>
    <row r="6" spans="1:9" ht="25" customHeight="1" x14ac:dyDescent="0.25">
      <c r="A6" s="93" t="s">
        <v>24</v>
      </c>
      <c r="B6" s="94"/>
      <c r="C6" s="94"/>
      <c r="D6" s="87" t="s">
        <v>43</v>
      </c>
      <c r="E6" s="87"/>
      <c r="F6" s="87"/>
      <c r="G6" s="87"/>
      <c r="H6" s="87"/>
      <c r="I6" s="88"/>
    </row>
    <row r="7" spans="1:9" ht="25" customHeight="1" x14ac:dyDescent="0.25">
      <c r="A7" s="91" t="s">
        <v>25</v>
      </c>
      <c r="B7" s="92"/>
      <c r="C7" s="92"/>
      <c r="D7" s="85" t="s">
        <v>42</v>
      </c>
      <c r="E7" s="85"/>
      <c r="F7" s="85"/>
      <c r="G7" s="85"/>
      <c r="H7" s="85"/>
      <c r="I7" s="86"/>
    </row>
    <row r="8" spans="1:9" ht="25" customHeight="1" x14ac:dyDescent="0.25">
      <c r="A8" s="93" t="s">
        <v>26</v>
      </c>
      <c r="B8" s="94"/>
      <c r="C8" s="94"/>
      <c r="D8" s="87" t="s">
        <v>44</v>
      </c>
      <c r="E8" s="87"/>
      <c r="F8" s="87"/>
      <c r="G8" s="87"/>
      <c r="H8" s="87"/>
      <c r="I8" s="88"/>
    </row>
    <row r="9" spans="1:9" ht="25" customHeight="1" x14ac:dyDescent="0.25">
      <c r="A9" s="91" t="s">
        <v>27</v>
      </c>
      <c r="B9" s="92"/>
      <c r="C9" s="92"/>
      <c r="D9" s="85" t="s">
        <v>45</v>
      </c>
      <c r="E9" s="85"/>
      <c r="F9" s="85"/>
      <c r="G9" s="85"/>
      <c r="H9" s="85"/>
      <c r="I9" s="86"/>
    </row>
    <row r="10" spans="1:9" s="1" customFormat="1" ht="25" customHeight="1" x14ac:dyDescent="0.25">
      <c r="A10" s="93" t="s">
        <v>28</v>
      </c>
      <c r="B10" s="94"/>
      <c r="C10" s="94"/>
      <c r="D10" s="87" t="s">
        <v>55</v>
      </c>
      <c r="E10" s="87"/>
      <c r="F10" s="87"/>
      <c r="G10" s="87"/>
      <c r="H10" s="87"/>
      <c r="I10" s="88"/>
    </row>
    <row r="11" spans="1:9" ht="25" customHeight="1" x14ac:dyDescent="0.25">
      <c r="A11" s="91" t="s">
        <v>29</v>
      </c>
      <c r="B11" s="92"/>
      <c r="C11" s="92"/>
      <c r="D11" s="85" t="s">
        <v>46</v>
      </c>
      <c r="E11" s="85"/>
      <c r="F11" s="85"/>
      <c r="G11" s="85"/>
      <c r="H11" s="85"/>
      <c r="I11" s="86"/>
    </row>
    <row r="12" spans="1:9" ht="25" customHeight="1" x14ac:dyDescent="0.25">
      <c r="A12" s="93" t="s">
        <v>30</v>
      </c>
      <c r="B12" s="94"/>
      <c r="C12" s="94"/>
      <c r="D12" s="87" t="s">
        <v>47</v>
      </c>
      <c r="E12" s="87"/>
      <c r="F12" s="87"/>
      <c r="G12" s="87"/>
      <c r="H12" s="87"/>
      <c r="I12" s="88"/>
    </row>
    <row r="13" spans="1:9" ht="25" customHeight="1" x14ac:dyDescent="0.25">
      <c r="A13" s="91" t="s">
        <v>6</v>
      </c>
      <c r="B13" s="92"/>
      <c r="C13" s="92"/>
      <c r="D13" s="85" t="s">
        <v>48</v>
      </c>
      <c r="E13" s="85"/>
      <c r="F13" s="85"/>
      <c r="G13" s="85"/>
      <c r="H13" s="85"/>
      <c r="I13" s="86"/>
    </row>
    <row r="14" spans="1:9" ht="25" customHeight="1" x14ac:dyDescent="0.25">
      <c r="A14" s="93" t="s">
        <v>31</v>
      </c>
      <c r="B14" s="94"/>
      <c r="C14" s="94"/>
      <c r="D14" s="87" t="s">
        <v>50</v>
      </c>
      <c r="E14" s="87"/>
      <c r="F14" s="87"/>
      <c r="G14" s="87"/>
      <c r="H14" s="87"/>
      <c r="I14" s="88"/>
    </row>
    <row r="15" spans="1:9" ht="25" customHeight="1" x14ac:dyDescent="0.25">
      <c r="A15" s="91" t="s">
        <v>12</v>
      </c>
      <c r="B15" s="92"/>
      <c r="C15" s="92"/>
      <c r="D15" s="85" t="s">
        <v>49</v>
      </c>
      <c r="E15" s="85"/>
      <c r="F15" s="85"/>
      <c r="G15" s="85"/>
      <c r="H15" s="85"/>
      <c r="I15" s="86"/>
    </row>
    <row r="16" spans="1:9" ht="25" customHeight="1" x14ac:dyDescent="0.25">
      <c r="A16" s="93" t="s">
        <v>32</v>
      </c>
      <c r="B16" s="94"/>
      <c r="C16" s="94"/>
      <c r="D16" s="87" t="s">
        <v>51</v>
      </c>
      <c r="E16" s="87"/>
      <c r="F16" s="87"/>
      <c r="G16" s="87"/>
      <c r="H16" s="87"/>
      <c r="I16" s="88"/>
    </row>
    <row r="17" spans="1:9" ht="25" customHeight="1" x14ac:dyDescent="0.25">
      <c r="A17" s="91" t="s">
        <v>33</v>
      </c>
      <c r="B17" s="92"/>
      <c r="C17" s="92"/>
      <c r="D17" s="85" t="s">
        <v>52</v>
      </c>
      <c r="E17" s="85"/>
      <c r="F17" s="85"/>
      <c r="G17" s="85"/>
      <c r="H17" s="85"/>
      <c r="I17" s="86"/>
    </row>
    <row r="18" spans="1:9" ht="25" customHeight="1" x14ac:dyDescent="0.25">
      <c r="A18" s="93" t="s">
        <v>34</v>
      </c>
      <c r="B18" s="94"/>
      <c r="C18" s="94"/>
      <c r="D18" s="87" t="s">
        <v>53</v>
      </c>
      <c r="E18" s="87"/>
      <c r="F18" s="87"/>
      <c r="G18" s="87"/>
      <c r="H18" s="87"/>
      <c r="I18" s="88"/>
    </row>
    <row r="19" spans="1:9" ht="25" customHeight="1" thickBot="1" x14ac:dyDescent="0.3">
      <c r="A19" s="95" t="s">
        <v>35</v>
      </c>
      <c r="B19" s="96"/>
      <c r="C19" s="96"/>
      <c r="D19" s="97" t="s">
        <v>54</v>
      </c>
      <c r="E19" s="97"/>
      <c r="F19" s="97"/>
      <c r="G19" s="97"/>
      <c r="H19" s="97"/>
      <c r="I19" s="98"/>
    </row>
    <row r="20" spans="1:9" ht="25" customHeight="1" x14ac:dyDescent="0.25"/>
    <row r="21" spans="1:9" ht="25" customHeight="1" x14ac:dyDescent="0.25"/>
    <row r="22" spans="1:9" ht="25" customHeight="1" x14ac:dyDescent="0.25"/>
    <row r="23" spans="1:9" ht="25" customHeight="1" x14ac:dyDescent="0.25"/>
    <row r="24" spans="1:9" ht="25" customHeight="1" x14ac:dyDescent="0.25"/>
    <row r="25" spans="1:9" ht="25" customHeight="1" x14ac:dyDescent="0.25"/>
    <row r="26" spans="1:9" ht="25" customHeight="1" x14ac:dyDescent="0.25"/>
    <row r="27" spans="1:9" ht="25" customHeight="1" x14ac:dyDescent="0.25"/>
    <row r="28" spans="1:9" ht="25" customHeight="1" x14ac:dyDescent="0.25"/>
    <row r="29" spans="1:9" ht="25" customHeight="1" x14ac:dyDescent="0.25"/>
    <row r="30" spans="1:9" ht="25" customHeight="1" x14ac:dyDescent="0.25"/>
    <row r="31" spans="1:9" ht="25" customHeight="1" x14ac:dyDescent="0.25"/>
    <row r="32" spans="1:9" ht="25" customHeight="1" x14ac:dyDescent="0.25"/>
    <row r="33" ht="25" customHeight="1" x14ac:dyDescent="0.25"/>
    <row r="34" ht="25" customHeight="1" x14ac:dyDescent="0.25"/>
    <row r="35" ht="25" customHeight="1" x14ac:dyDescent="0.25"/>
    <row r="36" ht="25" customHeight="1" x14ac:dyDescent="0.25"/>
    <row r="37" ht="25" customHeight="1" x14ac:dyDescent="0.25"/>
    <row r="38" ht="25" customHeight="1" x14ac:dyDescent="0.25"/>
    <row r="39" ht="20.05" customHeight="1" x14ac:dyDescent="0.25"/>
    <row r="40" ht="20.05" customHeight="1" x14ac:dyDescent="0.25"/>
    <row r="41" ht="20.05" customHeight="1" x14ac:dyDescent="0.25"/>
    <row r="42" ht="20.05" customHeight="1" x14ac:dyDescent="0.25"/>
    <row r="43" ht="20.05" customHeight="1" x14ac:dyDescent="0.25"/>
    <row r="44" ht="20.05" customHeight="1" x14ac:dyDescent="0.25"/>
    <row r="45" ht="20.05" customHeight="1" x14ac:dyDescent="0.25"/>
    <row r="46" ht="20.05" customHeight="1" x14ac:dyDescent="0.25"/>
    <row r="47" ht="20.05" customHeight="1" x14ac:dyDescent="0.25"/>
    <row r="48" ht="20.05" customHeight="1" x14ac:dyDescent="0.25"/>
    <row r="49" ht="20.05" customHeight="1" x14ac:dyDescent="0.25"/>
    <row r="50" ht="20.05" customHeight="1" x14ac:dyDescent="0.25"/>
    <row r="51" ht="20.05" customHeight="1" x14ac:dyDescent="0.25"/>
    <row r="52" ht="20.05" customHeight="1" x14ac:dyDescent="0.25"/>
    <row r="53" ht="20.05" customHeight="1" x14ac:dyDescent="0.25"/>
    <row r="54" ht="20.05" customHeight="1" x14ac:dyDescent="0.25"/>
    <row r="55" ht="20.05" customHeight="1" x14ac:dyDescent="0.25"/>
    <row r="56" ht="20.05" customHeight="1" x14ac:dyDescent="0.25"/>
    <row r="57" ht="20.05" customHeight="1" x14ac:dyDescent="0.25"/>
    <row r="58" ht="20.05" customHeight="1" x14ac:dyDescent="0.25"/>
    <row r="59" ht="20.05" customHeight="1" x14ac:dyDescent="0.25"/>
    <row r="60" ht="20.05" customHeight="1" x14ac:dyDescent="0.25"/>
    <row r="61" ht="20.05" customHeight="1" x14ac:dyDescent="0.25"/>
    <row r="62" ht="20.05" customHeight="1" x14ac:dyDescent="0.25"/>
    <row r="63" ht="20.05" customHeight="1" x14ac:dyDescent="0.25"/>
    <row r="64" ht="20.05" customHeight="1" x14ac:dyDescent="0.25"/>
    <row r="65" ht="20.05" customHeight="1" x14ac:dyDescent="0.25"/>
    <row r="66" ht="20.05" customHeight="1" x14ac:dyDescent="0.25"/>
    <row r="67" ht="20.05" customHeight="1" x14ac:dyDescent="0.25"/>
    <row r="68" ht="20.05" customHeight="1" x14ac:dyDescent="0.25"/>
    <row r="69" ht="20.05" customHeight="1" x14ac:dyDescent="0.25"/>
    <row r="70" ht="20.05" customHeight="1" x14ac:dyDescent="0.25"/>
    <row r="71" ht="20.05" customHeight="1" x14ac:dyDescent="0.25"/>
    <row r="72" ht="20.05" customHeight="1" x14ac:dyDescent="0.25"/>
    <row r="73" ht="20.05" customHeight="1" x14ac:dyDescent="0.25"/>
    <row r="74" ht="20.05" customHeight="1" x14ac:dyDescent="0.25"/>
    <row r="75" ht="20.05" customHeight="1" x14ac:dyDescent="0.25"/>
    <row r="76" ht="20.05" customHeight="1" x14ac:dyDescent="0.25"/>
    <row r="77" ht="20.05" customHeight="1" x14ac:dyDescent="0.25"/>
    <row r="78" ht="20.05" customHeight="1" x14ac:dyDescent="0.25"/>
    <row r="79" ht="20.05" customHeight="1" x14ac:dyDescent="0.25"/>
    <row r="80" ht="20.05" customHeight="1" x14ac:dyDescent="0.25"/>
    <row r="81" ht="20.05" customHeight="1" x14ac:dyDescent="0.25"/>
    <row r="82" ht="20.05" customHeight="1" x14ac:dyDescent="0.25"/>
    <row r="83" ht="20.05" customHeight="1" x14ac:dyDescent="0.25"/>
    <row r="84" ht="20.05" customHeight="1" x14ac:dyDescent="0.25"/>
    <row r="85" ht="20.05" customHeight="1" x14ac:dyDescent="0.25"/>
    <row r="86" ht="20.05" customHeight="1" x14ac:dyDescent="0.25"/>
    <row r="87" ht="20.05" customHeight="1" x14ac:dyDescent="0.25"/>
    <row r="88" ht="20.05" customHeight="1" x14ac:dyDescent="0.25"/>
    <row r="89" ht="20.05" customHeight="1" x14ac:dyDescent="0.25"/>
    <row r="90" ht="20.05" customHeight="1" x14ac:dyDescent="0.25"/>
    <row r="91" ht="20.05" customHeight="1" x14ac:dyDescent="0.25"/>
    <row r="92" ht="20.05" customHeight="1" x14ac:dyDescent="0.25"/>
    <row r="93" ht="20.05" customHeight="1" x14ac:dyDescent="0.25"/>
    <row r="94" ht="20.05" customHeight="1" x14ac:dyDescent="0.25"/>
    <row r="95" ht="20.05" customHeight="1" x14ac:dyDescent="0.25"/>
    <row r="96" ht="20.05" customHeight="1" x14ac:dyDescent="0.25"/>
    <row r="97" ht="20.05" customHeight="1" x14ac:dyDescent="0.25"/>
    <row r="98" ht="20.05" customHeight="1" x14ac:dyDescent="0.25"/>
    <row r="99" ht="20.05" customHeight="1" x14ac:dyDescent="0.25"/>
    <row r="100" ht="20.05" customHeight="1" x14ac:dyDescent="0.25"/>
    <row r="101" ht="20.05" customHeight="1" x14ac:dyDescent="0.25"/>
    <row r="102" ht="20.05" customHeight="1" x14ac:dyDescent="0.25"/>
    <row r="103" ht="20.05" customHeight="1" x14ac:dyDescent="0.25"/>
    <row r="104" ht="20.05" customHeight="1" x14ac:dyDescent="0.25"/>
    <row r="105" ht="20.05" customHeight="1" x14ac:dyDescent="0.25"/>
    <row r="106" ht="20.05" customHeight="1" x14ac:dyDescent="0.25"/>
    <row r="107" ht="20.05" customHeight="1" x14ac:dyDescent="0.25"/>
    <row r="108" ht="20.05" customHeight="1" x14ac:dyDescent="0.25"/>
    <row r="109" ht="20.05" customHeight="1" x14ac:dyDescent="0.25"/>
  </sheetData>
  <mergeCells count="38">
    <mergeCell ref="D18:I18"/>
    <mergeCell ref="A19:C19"/>
    <mergeCell ref="D19:I19"/>
    <mergeCell ref="A1:C1"/>
    <mergeCell ref="D1:I1"/>
    <mergeCell ref="D12:I12"/>
    <mergeCell ref="D13:I13"/>
    <mergeCell ref="D14:I14"/>
    <mergeCell ref="D15:I15"/>
    <mergeCell ref="D16:I16"/>
    <mergeCell ref="D17:I17"/>
    <mergeCell ref="D7:I7"/>
    <mergeCell ref="D8:I8"/>
    <mergeCell ref="D9:I9"/>
    <mergeCell ref="D10:I10"/>
    <mergeCell ref="D6:I6"/>
    <mergeCell ref="D11:I11"/>
    <mergeCell ref="A13:C13"/>
    <mergeCell ref="A14:C14"/>
    <mergeCell ref="A15:C15"/>
    <mergeCell ref="A16:C16"/>
    <mergeCell ref="A6:C6"/>
    <mergeCell ref="A17:C17"/>
    <mergeCell ref="A18:C18"/>
    <mergeCell ref="A7:C7"/>
    <mergeCell ref="A8:C8"/>
    <mergeCell ref="A9:C9"/>
    <mergeCell ref="A10:C10"/>
    <mergeCell ref="A11:C11"/>
    <mergeCell ref="A12:C12"/>
    <mergeCell ref="D2:I2"/>
    <mergeCell ref="D3:I3"/>
    <mergeCell ref="D4:I4"/>
    <mergeCell ref="D5:I5"/>
    <mergeCell ref="A2:C2"/>
    <mergeCell ref="A3:C3"/>
    <mergeCell ref="A4:C4"/>
    <mergeCell ref="A5:C5"/>
  </mergeCells>
  <pageMargins left="0.55000000000000004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110"/>
  <sheetViews>
    <sheetView workbookViewId="0">
      <pane ySplit="1" topLeftCell="A2" activePane="bottomLeft" state="frozen"/>
      <selection pane="bottomLeft" activeCell="G29" sqref="G29"/>
    </sheetView>
  </sheetViews>
  <sheetFormatPr defaultColWidth="8.75" defaultRowHeight="15.15" customHeight="1" x14ac:dyDescent="0.25"/>
  <cols>
    <col min="1" max="1" width="10" style="2" customWidth="1"/>
    <col min="2" max="3" width="8.75" style="2"/>
    <col min="4" max="9" width="11" style="4" customWidth="1"/>
    <col min="10" max="10" width="8.75" style="2"/>
    <col min="11" max="12" width="8.75" style="4"/>
    <col min="13" max="16384" width="8.75" style="2"/>
  </cols>
  <sheetData>
    <row r="1" spans="1:19" s="1" customFormat="1" ht="40.1" customHeight="1" thickBot="1" x14ac:dyDescent="0.3">
      <c r="A1" s="20" t="s">
        <v>0</v>
      </c>
      <c r="B1" s="21" t="s">
        <v>3</v>
      </c>
      <c r="C1" s="21" t="s">
        <v>1</v>
      </c>
      <c r="D1" s="22" t="s">
        <v>7</v>
      </c>
      <c r="E1" s="22" t="s">
        <v>2</v>
      </c>
      <c r="F1" s="22" t="s">
        <v>8</v>
      </c>
      <c r="G1" s="22" t="s">
        <v>9</v>
      </c>
      <c r="H1" s="22" t="s">
        <v>4</v>
      </c>
      <c r="I1" s="23" t="s">
        <v>5</v>
      </c>
      <c r="K1" s="35" t="s">
        <v>64</v>
      </c>
      <c r="L1" s="35" t="s">
        <v>63</v>
      </c>
      <c r="O1" s="36" t="s">
        <v>56</v>
      </c>
      <c r="Q1" s="3"/>
      <c r="R1" s="3"/>
      <c r="S1" s="3"/>
    </row>
    <row r="2" spans="1:19" ht="25" customHeight="1" thickBot="1" x14ac:dyDescent="0.3">
      <c r="A2" s="103" t="s">
        <v>13</v>
      </c>
      <c r="B2" s="104"/>
      <c r="C2" s="104"/>
      <c r="D2" s="104"/>
      <c r="E2" s="104"/>
      <c r="F2" s="104"/>
      <c r="G2" s="104"/>
      <c r="H2" s="104"/>
      <c r="I2" s="105"/>
    </row>
    <row r="3" spans="1:19" ht="25" customHeight="1" x14ac:dyDescent="0.25">
      <c r="A3" s="7">
        <v>12</v>
      </c>
      <c r="B3" s="5"/>
      <c r="C3" s="5" t="s">
        <v>12</v>
      </c>
      <c r="D3" s="6">
        <f>(F3+(2*E3))</f>
        <v>16</v>
      </c>
      <c r="E3" s="6">
        <f>(F3/12)+1</f>
        <v>2</v>
      </c>
      <c r="F3" s="6">
        <v>12</v>
      </c>
      <c r="G3" s="6">
        <f>(E3/12)</f>
        <v>0.16666666666666666</v>
      </c>
      <c r="H3" s="6">
        <f>(((F3/2)+E3)/12)</f>
        <v>0.66666666666666663</v>
      </c>
      <c r="I3" s="8">
        <f>((F3+E3)/12)</f>
        <v>1.1666666666666667</v>
      </c>
      <c r="K3" s="37">
        <f>(D3/12)</f>
        <v>1.3333333333333333</v>
      </c>
      <c r="L3" s="78">
        <f>(F3/12)</f>
        <v>1</v>
      </c>
      <c r="O3" s="37">
        <f>(F3/2)/12</f>
        <v>0.5</v>
      </c>
    </row>
    <row r="4" spans="1:19" ht="25" customHeight="1" x14ac:dyDescent="0.25">
      <c r="A4" s="12">
        <v>15</v>
      </c>
      <c r="B4" s="13"/>
      <c r="C4" s="13" t="s">
        <v>12</v>
      </c>
      <c r="D4" s="14">
        <f t="shared" ref="D4:D19" si="0">(F4+(2*E4))</f>
        <v>19.5</v>
      </c>
      <c r="E4" s="14">
        <f t="shared" ref="E4:E19" si="1">(F4/12)+1</f>
        <v>2.25</v>
      </c>
      <c r="F4" s="14">
        <v>15</v>
      </c>
      <c r="G4" s="14">
        <f t="shared" ref="G4:G19" si="2">(E4/12)</f>
        <v>0.1875</v>
      </c>
      <c r="H4" s="14">
        <f t="shared" ref="H4:H19" si="3">(((F4/2)+E4)/12)</f>
        <v>0.8125</v>
      </c>
      <c r="I4" s="15">
        <f t="shared" ref="I4:I19" si="4">((F4+E4)/12)</f>
        <v>1.4375</v>
      </c>
      <c r="K4" s="38">
        <f t="shared" ref="K4:K19" si="5">(D4/12)</f>
        <v>1.625</v>
      </c>
      <c r="L4" s="81">
        <f t="shared" ref="L4:L19" si="6">(F4/12)</f>
        <v>1.25</v>
      </c>
      <c r="O4" s="38">
        <f t="shared" ref="O4:O19" si="7">(F4/2)/12</f>
        <v>0.625</v>
      </c>
    </row>
    <row r="5" spans="1:19" ht="25" customHeight="1" x14ac:dyDescent="0.25">
      <c r="A5" s="7">
        <v>18</v>
      </c>
      <c r="B5" s="5"/>
      <c r="C5" s="5" t="s">
        <v>12</v>
      </c>
      <c r="D5" s="6">
        <f t="shared" si="0"/>
        <v>23</v>
      </c>
      <c r="E5" s="6">
        <f t="shared" si="1"/>
        <v>2.5</v>
      </c>
      <c r="F5" s="6">
        <v>18</v>
      </c>
      <c r="G5" s="6">
        <f t="shared" si="2"/>
        <v>0.20833333333333334</v>
      </c>
      <c r="H5" s="6">
        <f t="shared" si="3"/>
        <v>0.95833333333333337</v>
      </c>
      <c r="I5" s="8">
        <f t="shared" si="4"/>
        <v>1.7083333333333333</v>
      </c>
      <c r="K5" s="39">
        <f t="shared" si="5"/>
        <v>1.9166666666666667</v>
      </c>
      <c r="L5" s="79">
        <f t="shared" si="6"/>
        <v>1.5</v>
      </c>
      <c r="O5" s="39">
        <f t="shared" si="7"/>
        <v>0.75</v>
      </c>
    </row>
    <row r="6" spans="1:19" ht="25" customHeight="1" x14ac:dyDescent="0.25">
      <c r="A6" s="12">
        <v>21</v>
      </c>
      <c r="B6" s="13"/>
      <c r="C6" s="13" t="s">
        <v>12</v>
      </c>
      <c r="D6" s="14">
        <f t="shared" si="0"/>
        <v>26.5</v>
      </c>
      <c r="E6" s="14">
        <f t="shared" si="1"/>
        <v>2.75</v>
      </c>
      <c r="F6" s="14">
        <v>21</v>
      </c>
      <c r="G6" s="14">
        <f t="shared" si="2"/>
        <v>0.22916666666666666</v>
      </c>
      <c r="H6" s="14">
        <f t="shared" si="3"/>
        <v>1.1041666666666667</v>
      </c>
      <c r="I6" s="15">
        <f t="shared" si="4"/>
        <v>1.9791666666666667</v>
      </c>
      <c r="K6" s="38">
        <f t="shared" si="5"/>
        <v>2.2083333333333335</v>
      </c>
      <c r="L6" s="81">
        <f t="shared" si="6"/>
        <v>1.75</v>
      </c>
      <c r="O6" s="38">
        <f t="shared" si="7"/>
        <v>0.875</v>
      </c>
    </row>
    <row r="7" spans="1:19" ht="25" customHeight="1" x14ac:dyDescent="0.25">
      <c r="A7" s="7">
        <v>24</v>
      </c>
      <c r="B7" s="5"/>
      <c r="C7" s="5" t="s">
        <v>12</v>
      </c>
      <c r="D7" s="6">
        <f t="shared" si="0"/>
        <v>30</v>
      </c>
      <c r="E7" s="6">
        <f t="shared" si="1"/>
        <v>3</v>
      </c>
      <c r="F7" s="6">
        <v>24</v>
      </c>
      <c r="G7" s="6">
        <f t="shared" si="2"/>
        <v>0.25</v>
      </c>
      <c r="H7" s="6">
        <f t="shared" si="3"/>
        <v>1.25</v>
      </c>
      <c r="I7" s="8">
        <f t="shared" si="4"/>
        <v>2.25</v>
      </c>
      <c r="K7" s="39">
        <f t="shared" si="5"/>
        <v>2.5</v>
      </c>
      <c r="L7" s="79">
        <f t="shared" si="6"/>
        <v>2</v>
      </c>
      <c r="O7" s="39">
        <f t="shared" si="7"/>
        <v>1</v>
      </c>
    </row>
    <row r="8" spans="1:19" ht="25" customHeight="1" x14ac:dyDescent="0.25">
      <c r="A8" s="12">
        <v>30</v>
      </c>
      <c r="B8" s="13"/>
      <c r="C8" s="13" t="s">
        <v>12</v>
      </c>
      <c r="D8" s="14">
        <f t="shared" si="0"/>
        <v>37</v>
      </c>
      <c r="E8" s="14">
        <f t="shared" si="1"/>
        <v>3.5</v>
      </c>
      <c r="F8" s="14">
        <v>30</v>
      </c>
      <c r="G8" s="14">
        <f t="shared" si="2"/>
        <v>0.29166666666666669</v>
      </c>
      <c r="H8" s="14">
        <f t="shared" si="3"/>
        <v>1.5416666666666667</v>
      </c>
      <c r="I8" s="15">
        <f t="shared" si="4"/>
        <v>2.7916666666666665</v>
      </c>
      <c r="K8" s="38">
        <f t="shared" si="5"/>
        <v>3.0833333333333335</v>
      </c>
      <c r="L8" s="81">
        <f t="shared" si="6"/>
        <v>2.5</v>
      </c>
      <c r="O8" s="38">
        <f t="shared" si="7"/>
        <v>1.25</v>
      </c>
    </row>
    <row r="9" spans="1:19" ht="25" customHeight="1" x14ac:dyDescent="0.25">
      <c r="A9" s="7">
        <v>36</v>
      </c>
      <c r="B9" s="5"/>
      <c r="C9" s="5" t="s">
        <v>12</v>
      </c>
      <c r="D9" s="6">
        <f t="shared" si="0"/>
        <v>44</v>
      </c>
      <c r="E9" s="6">
        <f t="shared" si="1"/>
        <v>4</v>
      </c>
      <c r="F9" s="6">
        <v>36</v>
      </c>
      <c r="G9" s="6">
        <f t="shared" si="2"/>
        <v>0.33333333333333331</v>
      </c>
      <c r="H9" s="6">
        <f t="shared" si="3"/>
        <v>1.8333333333333333</v>
      </c>
      <c r="I9" s="8">
        <f t="shared" si="4"/>
        <v>3.3333333333333335</v>
      </c>
      <c r="K9" s="39">
        <f t="shared" si="5"/>
        <v>3.6666666666666665</v>
      </c>
      <c r="L9" s="79">
        <f t="shared" si="6"/>
        <v>3</v>
      </c>
      <c r="O9" s="39">
        <f t="shared" si="7"/>
        <v>1.5</v>
      </c>
    </row>
    <row r="10" spans="1:19" ht="25" customHeight="1" x14ac:dyDescent="0.25">
      <c r="A10" s="12">
        <v>42</v>
      </c>
      <c r="B10" s="13"/>
      <c r="C10" s="13" t="s">
        <v>12</v>
      </c>
      <c r="D10" s="14">
        <f t="shared" si="0"/>
        <v>51</v>
      </c>
      <c r="E10" s="14">
        <f t="shared" si="1"/>
        <v>4.5</v>
      </c>
      <c r="F10" s="14">
        <v>42</v>
      </c>
      <c r="G10" s="14">
        <f t="shared" si="2"/>
        <v>0.375</v>
      </c>
      <c r="H10" s="14">
        <f t="shared" si="3"/>
        <v>2.125</v>
      </c>
      <c r="I10" s="15">
        <f t="shared" si="4"/>
        <v>3.875</v>
      </c>
      <c r="K10" s="38">
        <f t="shared" si="5"/>
        <v>4.25</v>
      </c>
      <c r="L10" s="81">
        <f t="shared" si="6"/>
        <v>3.5</v>
      </c>
      <c r="O10" s="38">
        <f t="shared" si="7"/>
        <v>1.75</v>
      </c>
    </row>
    <row r="11" spans="1:19" s="1" customFormat="1" ht="25" customHeight="1" x14ac:dyDescent="0.25">
      <c r="A11" s="7">
        <v>48</v>
      </c>
      <c r="B11" s="5"/>
      <c r="C11" s="5" t="s">
        <v>12</v>
      </c>
      <c r="D11" s="6">
        <f t="shared" si="0"/>
        <v>58</v>
      </c>
      <c r="E11" s="6">
        <f t="shared" si="1"/>
        <v>5</v>
      </c>
      <c r="F11" s="6">
        <v>48</v>
      </c>
      <c r="G11" s="6">
        <f t="shared" si="2"/>
        <v>0.41666666666666669</v>
      </c>
      <c r="H11" s="6">
        <f t="shared" si="3"/>
        <v>2.4166666666666665</v>
      </c>
      <c r="I11" s="8">
        <f t="shared" si="4"/>
        <v>4.416666666666667</v>
      </c>
      <c r="K11" s="39">
        <f t="shared" si="5"/>
        <v>4.833333333333333</v>
      </c>
      <c r="L11" s="79">
        <f t="shared" si="6"/>
        <v>4</v>
      </c>
      <c r="O11" s="39">
        <f t="shared" si="7"/>
        <v>2</v>
      </c>
    </row>
    <row r="12" spans="1:19" ht="25" customHeight="1" x14ac:dyDescent="0.25">
      <c r="A12" s="12">
        <v>54</v>
      </c>
      <c r="B12" s="13"/>
      <c r="C12" s="13" t="s">
        <v>12</v>
      </c>
      <c r="D12" s="14">
        <f t="shared" si="0"/>
        <v>65</v>
      </c>
      <c r="E12" s="14">
        <f t="shared" si="1"/>
        <v>5.5</v>
      </c>
      <c r="F12" s="14">
        <v>54</v>
      </c>
      <c r="G12" s="14">
        <f t="shared" si="2"/>
        <v>0.45833333333333331</v>
      </c>
      <c r="H12" s="14">
        <f t="shared" si="3"/>
        <v>2.7083333333333335</v>
      </c>
      <c r="I12" s="15">
        <f t="shared" si="4"/>
        <v>4.958333333333333</v>
      </c>
      <c r="K12" s="38">
        <f t="shared" si="5"/>
        <v>5.416666666666667</v>
      </c>
      <c r="L12" s="81">
        <f t="shared" si="6"/>
        <v>4.5</v>
      </c>
      <c r="O12" s="38">
        <f t="shared" si="7"/>
        <v>2.25</v>
      </c>
    </row>
    <row r="13" spans="1:19" ht="25" customHeight="1" x14ac:dyDescent="0.25">
      <c r="A13" s="7">
        <v>60</v>
      </c>
      <c r="B13" s="5"/>
      <c r="C13" s="5" t="s">
        <v>12</v>
      </c>
      <c r="D13" s="6">
        <f t="shared" si="0"/>
        <v>72</v>
      </c>
      <c r="E13" s="6">
        <f t="shared" si="1"/>
        <v>6</v>
      </c>
      <c r="F13" s="6">
        <v>60</v>
      </c>
      <c r="G13" s="6">
        <f t="shared" si="2"/>
        <v>0.5</v>
      </c>
      <c r="H13" s="6">
        <f t="shared" si="3"/>
        <v>3</v>
      </c>
      <c r="I13" s="8">
        <f t="shared" si="4"/>
        <v>5.5</v>
      </c>
      <c r="K13" s="39">
        <f t="shared" si="5"/>
        <v>6</v>
      </c>
      <c r="L13" s="79">
        <f t="shared" si="6"/>
        <v>5</v>
      </c>
      <c r="O13" s="39">
        <f t="shared" si="7"/>
        <v>2.5</v>
      </c>
    </row>
    <row r="14" spans="1:19" ht="25" customHeight="1" x14ac:dyDescent="0.25">
      <c r="A14" s="12">
        <v>66</v>
      </c>
      <c r="B14" s="13"/>
      <c r="C14" s="13" t="s">
        <v>12</v>
      </c>
      <c r="D14" s="14">
        <f t="shared" si="0"/>
        <v>79</v>
      </c>
      <c r="E14" s="14">
        <f t="shared" si="1"/>
        <v>6.5</v>
      </c>
      <c r="F14" s="14">
        <v>66</v>
      </c>
      <c r="G14" s="14">
        <f t="shared" si="2"/>
        <v>0.54166666666666663</v>
      </c>
      <c r="H14" s="14">
        <f t="shared" si="3"/>
        <v>3.2916666666666665</v>
      </c>
      <c r="I14" s="15">
        <f t="shared" si="4"/>
        <v>6.041666666666667</v>
      </c>
      <c r="K14" s="38">
        <f t="shared" si="5"/>
        <v>6.583333333333333</v>
      </c>
      <c r="L14" s="81">
        <f t="shared" si="6"/>
        <v>5.5</v>
      </c>
      <c r="O14" s="38">
        <f t="shared" si="7"/>
        <v>2.75</v>
      </c>
    </row>
    <row r="15" spans="1:19" ht="25" customHeight="1" x14ac:dyDescent="0.25">
      <c r="A15" s="7">
        <v>72</v>
      </c>
      <c r="B15" s="5"/>
      <c r="C15" s="5" t="s">
        <v>12</v>
      </c>
      <c r="D15" s="6">
        <f t="shared" si="0"/>
        <v>86</v>
      </c>
      <c r="E15" s="6">
        <f t="shared" si="1"/>
        <v>7</v>
      </c>
      <c r="F15" s="6">
        <v>72</v>
      </c>
      <c r="G15" s="6">
        <f t="shared" si="2"/>
        <v>0.58333333333333337</v>
      </c>
      <c r="H15" s="6">
        <f t="shared" si="3"/>
        <v>3.5833333333333335</v>
      </c>
      <c r="I15" s="8">
        <f t="shared" si="4"/>
        <v>6.583333333333333</v>
      </c>
      <c r="K15" s="39">
        <f t="shared" si="5"/>
        <v>7.166666666666667</v>
      </c>
      <c r="L15" s="79">
        <f t="shared" si="6"/>
        <v>6</v>
      </c>
      <c r="O15" s="39">
        <f t="shared" si="7"/>
        <v>3</v>
      </c>
    </row>
    <row r="16" spans="1:19" ht="25" customHeight="1" x14ac:dyDescent="0.25">
      <c r="A16" s="12">
        <v>78</v>
      </c>
      <c r="B16" s="13"/>
      <c r="C16" s="13" t="s">
        <v>12</v>
      </c>
      <c r="D16" s="14">
        <f t="shared" si="0"/>
        <v>93</v>
      </c>
      <c r="E16" s="14">
        <f t="shared" si="1"/>
        <v>7.5</v>
      </c>
      <c r="F16" s="14">
        <v>78</v>
      </c>
      <c r="G16" s="14">
        <f t="shared" si="2"/>
        <v>0.625</v>
      </c>
      <c r="H16" s="14">
        <f t="shared" si="3"/>
        <v>3.875</v>
      </c>
      <c r="I16" s="15">
        <f t="shared" si="4"/>
        <v>7.125</v>
      </c>
      <c r="K16" s="38">
        <f t="shared" si="5"/>
        <v>7.75</v>
      </c>
      <c r="L16" s="81">
        <f t="shared" si="6"/>
        <v>6.5</v>
      </c>
      <c r="O16" s="38">
        <f t="shared" si="7"/>
        <v>3.25</v>
      </c>
    </row>
    <row r="17" spans="1:15" ht="25" customHeight="1" x14ac:dyDescent="0.25">
      <c r="A17" s="7">
        <v>84</v>
      </c>
      <c r="B17" s="5"/>
      <c r="C17" s="5" t="s">
        <v>12</v>
      </c>
      <c r="D17" s="6">
        <f t="shared" si="0"/>
        <v>100</v>
      </c>
      <c r="E17" s="6">
        <f t="shared" si="1"/>
        <v>8</v>
      </c>
      <c r="F17" s="6">
        <v>84</v>
      </c>
      <c r="G17" s="6">
        <f t="shared" si="2"/>
        <v>0.66666666666666663</v>
      </c>
      <c r="H17" s="6">
        <f t="shared" si="3"/>
        <v>4.166666666666667</v>
      </c>
      <c r="I17" s="8">
        <f t="shared" si="4"/>
        <v>7.666666666666667</v>
      </c>
      <c r="K17" s="39">
        <f t="shared" si="5"/>
        <v>8.3333333333333339</v>
      </c>
      <c r="L17" s="79">
        <f t="shared" si="6"/>
        <v>7</v>
      </c>
      <c r="O17" s="39">
        <f t="shared" si="7"/>
        <v>3.5</v>
      </c>
    </row>
    <row r="18" spans="1:15" ht="25" customHeight="1" x14ac:dyDescent="0.25">
      <c r="A18" s="12">
        <v>90</v>
      </c>
      <c r="B18" s="13"/>
      <c r="C18" s="13" t="s">
        <v>12</v>
      </c>
      <c r="D18" s="14">
        <f t="shared" si="0"/>
        <v>107</v>
      </c>
      <c r="E18" s="14">
        <f t="shared" si="1"/>
        <v>8.5</v>
      </c>
      <c r="F18" s="14">
        <v>90</v>
      </c>
      <c r="G18" s="14">
        <f t="shared" si="2"/>
        <v>0.70833333333333337</v>
      </c>
      <c r="H18" s="14">
        <f t="shared" si="3"/>
        <v>4.458333333333333</v>
      </c>
      <c r="I18" s="15">
        <f t="shared" si="4"/>
        <v>8.2083333333333339</v>
      </c>
      <c r="K18" s="38">
        <f t="shared" si="5"/>
        <v>8.9166666666666661</v>
      </c>
      <c r="L18" s="81">
        <f t="shared" si="6"/>
        <v>7.5</v>
      </c>
      <c r="O18" s="38">
        <f t="shared" si="7"/>
        <v>3.75</v>
      </c>
    </row>
    <row r="19" spans="1:15" ht="25" customHeight="1" thickBot="1" x14ac:dyDescent="0.3">
      <c r="A19" s="9">
        <v>96</v>
      </c>
      <c r="B19" s="10"/>
      <c r="C19" s="10" t="s">
        <v>12</v>
      </c>
      <c r="D19" s="11">
        <f t="shared" si="0"/>
        <v>114</v>
      </c>
      <c r="E19" s="11">
        <f t="shared" si="1"/>
        <v>9</v>
      </c>
      <c r="F19" s="11">
        <v>96</v>
      </c>
      <c r="G19" s="11">
        <f t="shared" si="2"/>
        <v>0.75</v>
      </c>
      <c r="H19" s="11">
        <f t="shared" si="3"/>
        <v>4.75</v>
      </c>
      <c r="I19" s="24">
        <f t="shared" si="4"/>
        <v>8.75</v>
      </c>
      <c r="K19" s="40">
        <f t="shared" si="5"/>
        <v>9.5</v>
      </c>
      <c r="L19" s="80">
        <f t="shared" si="6"/>
        <v>8</v>
      </c>
      <c r="O19" s="40">
        <f t="shared" si="7"/>
        <v>4</v>
      </c>
    </row>
    <row r="20" spans="1:15" ht="25" customHeight="1" x14ac:dyDescent="0.25"/>
    <row r="21" spans="1:15" ht="25" customHeight="1" x14ac:dyDescent="0.25"/>
    <row r="22" spans="1:15" ht="25" customHeight="1" x14ac:dyDescent="0.25"/>
    <row r="23" spans="1:15" ht="25" customHeight="1" x14ac:dyDescent="0.25"/>
    <row r="24" spans="1:15" ht="25" customHeight="1" x14ac:dyDescent="0.25"/>
    <row r="25" spans="1:15" ht="25" customHeight="1" x14ac:dyDescent="0.25"/>
    <row r="26" spans="1:15" ht="25" customHeight="1" x14ac:dyDescent="0.25"/>
    <row r="27" spans="1:15" ht="25" customHeight="1" x14ac:dyDescent="0.25"/>
    <row r="28" spans="1:15" ht="25" customHeight="1" x14ac:dyDescent="0.25"/>
    <row r="29" spans="1:15" ht="25" customHeight="1" x14ac:dyDescent="0.25"/>
    <row r="30" spans="1:15" ht="25" customHeight="1" x14ac:dyDescent="0.25"/>
    <row r="31" spans="1:15" ht="25" customHeight="1" x14ac:dyDescent="0.25"/>
    <row r="32" spans="1:15" ht="25" customHeight="1" x14ac:dyDescent="0.25"/>
    <row r="33" ht="25" customHeight="1" x14ac:dyDescent="0.25"/>
    <row r="34" ht="25" customHeight="1" x14ac:dyDescent="0.25"/>
    <row r="35" ht="25" customHeight="1" x14ac:dyDescent="0.25"/>
    <row r="36" ht="25" customHeight="1" x14ac:dyDescent="0.25"/>
    <row r="37" ht="25" customHeight="1" x14ac:dyDescent="0.25"/>
    <row r="38" ht="25" customHeight="1" x14ac:dyDescent="0.25"/>
    <row r="39" ht="25" customHeight="1" x14ac:dyDescent="0.25"/>
    <row r="40" ht="20.05" customHeight="1" x14ac:dyDescent="0.25"/>
    <row r="41" ht="20.05" customHeight="1" x14ac:dyDescent="0.25"/>
    <row r="42" ht="20.05" customHeight="1" x14ac:dyDescent="0.25"/>
    <row r="43" ht="20.05" customHeight="1" x14ac:dyDescent="0.25"/>
    <row r="44" ht="20.05" customHeight="1" x14ac:dyDescent="0.25"/>
    <row r="45" ht="20.05" customHeight="1" x14ac:dyDescent="0.25"/>
    <row r="46" ht="20.05" customHeight="1" x14ac:dyDescent="0.25"/>
    <row r="47" ht="20.05" customHeight="1" x14ac:dyDescent="0.25"/>
    <row r="48" ht="20.05" customHeight="1" x14ac:dyDescent="0.25"/>
    <row r="49" ht="20.05" customHeight="1" x14ac:dyDescent="0.25"/>
    <row r="50" ht="20.05" customHeight="1" x14ac:dyDescent="0.25"/>
    <row r="51" ht="20.05" customHeight="1" x14ac:dyDescent="0.25"/>
    <row r="52" ht="20.05" customHeight="1" x14ac:dyDescent="0.25"/>
    <row r="53" ht="20.05" customHeight="1" x14ac:dyDescent="0.25"/>
    <row r="54" ht="20.05" customHeight="1" x14ac:dyDescent="0.25"/>
    <row r="55" ht="20.05" customHeight="1" x14ac:dyDescent="0.25"/>
    <row r="56" ht="20.05" customHeight="1" x14ac:dyDescent="0.25"/>
    <row r="57" ht="20.05" customHeight="1" x14ac:dyDescent="0.25"/>
    <row r="58" ht="20.05" customHeight="1" x14ac:dyDescent="0.25"/>
    <row r="59" ht="20.05" customHeight="1" x14ac:dyDescent="0.25"/>
    <row r="60" ht="20.05" customHeight="1" x14ac:dyDescent="0.25"/>
    <row r="61" ht="20.05" customHeight="1" x14ac:dyDescent="0.25"/>
    <row r="62" ht="20.05" customHeight="1" x14ac:dyDescent="0.25"/>
    <row r="63" ht="20.05" customHeight="1" x14ac:dyDescent="0.25"/>
    <row r="64" ht="20.05" customHeight="1" x14ac:dyDescent="0.25"/>
    <row r="65" ht="20.05" customHeight="1" x14ac:dyDescent="0.25"/>
    <row r="66" ht="20.05" customHeight="1" x14ac:dyDescent="0.25"/>
    <row r="67" ht="20.05" customHeight="1" x14ac:dyDescent="0.25"/>
    <row r="68" ht="20.05" customHeight="1" x14ac:dyDescent="0.25"/>
    <row r="69" ht="20.05" customHeight="1" x14ac:dyDescent="0.25"/>
    <row r="70" ht="20.05" customHeight="1" x14ac:dyDescent="0.25"/>
    <row r="71" ht="20.05" customHeight="1" x14ac:dyDescent="0.25"/>
    <row r="72" ht="20.05" customHeight="1" x14ac:dyDescent="0.25"/>
    <row r="73" ht="20.05" customHeight="1" x14ac:dyDescent="0.25"/>
    <row r="74" ht="20.05" customHeight="1" x14ac:dyDescent="0.25"/>
    <row r="75" ht="20.05" customHeight="1" x14ac:dyDescent="0.25"/>
    <row r="76" ht="20.05" customHeight="1" x14ac:dyDescent="0.25"/>
    <row r="77" ht="20.05" customHeight="1" x14ac:dyDescent="0.25"/>
    <row r="78" ht="20.05" customHeight="1" x14ac:dyDescent="0.25"/>
    <row r="79" ht="20.05" customHeight="1" x14ac:dyDescent="0.25"/>
    <row r="80" ht="20.05" customHeight="1" x14ac:dyDescent="0.25"/>
    <row r="81" ht="20.05" customHeight="1" x14ac:dyDescent="0.25"/>
    <row r="82" ht="20.05" customHeight="1" x14ac:dyDescent="0.25"/>
    <row r="83" ht="20.05" customHeight="1" x14ac:dyDescent="0.25"/>
    <row r="84" ht="20.05" customHeight="1" x14ac:dyDescent="0.25"/>
    <row r="85" ht="20.05" customHeight="1" x14ac:dyDescent="0.25"/>
    <row r="86" ht="20.05" customHeight="1" x14ac:dyDescent="0.25"/>
    <row r="87" ht="20.05" customHeight="1" x14ac:dyDescent="0.25"/>
    <row r="88" ht="20.05" customHeight="1" x14ac:dyDescent="0.25"/>
    <row r="89" ht="20.05" customHeight="1" x14ac:dyDescent="0.25"/>
    <row r="90" ht="20.05" customHeight="1" x14ac:dyDescent="0.25"/>
    <row r="91" ht="20.05" customHeight="1" x14ac:dyDescent="0.25"/>
    <row r="92" ht="20.05" customHeight="1" x14ac:dyDescent="0.25"/>
    <row r="93" ht="20.05" customHeight="1" x14ac:dyDescent="0.25"/>
    <row r="94" ht="20.05" customHeight="1" x14ac:dyDescent="0.25"/>
    <row r="95" ht="20.05" customHeight="1" x14ac:dyDescent="0.25"/>
    <row r="96" ht="20.05" customHeight="1" x14ac:dyDescent="0.25"/>
    <row r="97" ht="20.05" customHeight="1" x14ac:dyDescent="0.25"/>
    <row r="98" ht="20.05" customHeight="1" x14ac:dyDescent="0.25"/>
    <row r="99" ht="20.05" customHeight="1" x14ac:dyDescent="0.25"/>
    <row r="100" ht="20.05" customHeight="1" x14ac:dyDescent="0.25"/>
    <row r="101" ht="20.05" customHeight="1" x14ac:dyDescent="0.25"/>
    <row r="102" ht="20.05" customHeight="1" x14ac:dyDescent="0.25"/>
    <row r="103" ht="20.05" customHeight="1" x14ac:dyDescent="0.25"/>
    <row r="104" ht="20.05" customHeight="1" x14ac:dyDescent="0.25"/>
    <row r="105" ht="20.05" customHeight="1" x14ac:dyDescent="0.25"/>
    <row r="106" ht="20.05" customHeight="1" x14ac:dyDescent="0.25"/>
    <row r="107" ht="20.05" customHeight="1" x14ac:dyDescent="0.25"/>
    <row r="108" ht="20.05" customHeight="1" x14ac:dyDescent="0.25"/>
    <row r="109" ht="20.05" customHeight="1" x14ac:dyDescent="0.25"/>
    <row r="110" ht="20.05" customHeight="1" x14ac:dyDescent="0.25"/>
  </sheetData>
  <mergeCells count="1">
    <mergeCell ref="A2:I2"/>
  </mergeCells>
  <hyperlinks>
    <hyperlink ref="A2" r:id="rId1" display="https://www.rinkerpipe.com/wp-content/uploads/001.pdf" xr:uid="{00000000-0004-0000-0100-000000000000}"/>
    <hyperlink ref="A2:I2" r:id="rId2" display="Rinker - Reinforced Concrete Pipe" xr:uid="{00000000-0004-0000-0100-000001000000}"/>
  </hyperlinks>
  <pageMargins left="0.55000000000000004" right="0.25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10"/>
  <sheetViews>
    <sheetView workbookViewId="0">
      <selection activeCell="C24" sqref="C24"/>
    </sheetView>
  </sheetViews>
  <sheetFormatPr defaultColWidth="8.75" defaultRowHeight="15.15" customHeight="1" x14ac:dyDescent="0.25"/>
  <cols>
    <col min="1" max="1" width="10" style="2" customWidth="1"/>
    <col min="2" max="3" width="8.75" style="31"/>
    <col min="4" max="6" width="11" style="29" customWidth="1"/>
    <col min="7" max="9" width="11" style="4" customWidth="1"/>
    <col min="10" max="16384" width="8.75" style="2"/>
  </cols>
  <sheetData>
    <row r="1" spans="1:15" s="1" customFormat="1" ht="40.1" customHeight="1" x14ac:dyDescent="0.25">
      <c r="A1" s="20" t="s">
        <v>14</v>
      </c>
      <c r="B1" s="30" t="s">
        <v>16</v>
      </c>
      <c r="C1" s="30" t="s">
        <v>15</v>
      </c>
      <c r="D1" s="25" t="s">
        <v>17</v>
      </c>
      <c r="E1" s="25" t="s">
        <v>19</v>
      </c>
      <c r="F1" s="25" t="s">
        <v>2</v>
      </c>
      <c r="G1" s="22" t="s">
        <v>9</v>
      </c>
      <c r="H1" s="22" t="s">
        <v>4</v>
      </c>
      <c r="I1" s="23" t="s">
        <v>5</v>
      </c>
      <c r="M1" s="3"/>
      <c r="N1" s="3"/>
      <c r="O1" s="3"/>
    </row>
    <row r="2" spans="1:15" ht="25" customHeight="1" x14ac:dyDescent="0.25">
      <c r="A2" s="106" t="s">
        <v>18</v>
      </c>
      <c r="B2" s="107"/>
      <c r="C2" s="107"/>
      <c r="D2" s="107"/>
      <c r="E2" s="107"/>
      <c r="F2" s="107"/>
      <c r="G2" s="107"/>
      <c r="H2" s="107"/>
      <c r="I2" s="108"/>
    </row>
    <row r="3" spans="1:15" ht="25" customHeight="1" x14ac:dyDescent="0.25">
      <c r="A3" s="7">
        <v>18</v>
      </c>
      <c r="B3" s="32">
        <v>14</v>
      </c>
      <c r="C3" s="32">
        <v>23</v>
      </c>
      <c r="D3" s="26">
        <f>(B3+(2*F3))</f>
        <v>19.5</v>
      </c>
      <c r="E3" s="26">
        <f>(C3+(2*F3))</f>
        <v>28.5</v>
      </c>
      <c r="F3" s="26">
        <v>2.75</v>
      </c>
      <c r="G3" s="6">
        <f>(F3/12)</f>
        <v>0.22916666666666666</v>
      </c>
      <c r="H3" s="6">
        <f>((B3/2)+F3)/12</f>
        <v>0.8125</v>
      </c>
      <c r="I3" s="8">
        <f>((B3+F3)/12)</f>
        <v>1.3958333333333333</v>
      </c>
    </row>
    <row r="4" spans="1:15" ht="25" customHeight="1" x14ac:dyDescent="0.25">
      <c r="A4" s="12">
        <v>24</v>
      </c>
      <c r="B4" s="34">
        <v>19</v>
      </c>
      <c r="C4" s="34">
        <v>30</v>
      </c>
      <c r="D4" s="27">
        <f t="shared" ref="D4:D25" si="0">(B4+(2*F4))</f>
        <v>25.5</v>
      </c>
      <c r="E4" s="27">
        <f t="shared" ref="E4:E25" si="1">(C4+(2*F4))</f>
        <v>36.5</v>
      </c>
      <c r="F4" s="27">
        <v>3.25</v>
      </c>
      <c r="G4" s="14">
        <f t="shared" ref="G4:G25" si="2">(F4/12)</f>
        <v>0.27083333333333331</v>
      </c>
      <c r="H4" s="14">
        <f t="shared" ref="H4:H25" si="3">((B4/2)+F4)/12</f>
        <v>1.0625</v>
      </c>
      <c r="I4" s="15">
        <f t="shared" ref="I4:I25" si="4">((B4+F4)/12)</f>
        <v>1.8541666666666667</v>
      </c>
    </row>
    <row r="5" spans="1:15" ht="25" customHeight="1" x14ac:dyDescent="0.25">
      <c r="A5" s="7">
        <v>27</v>
      </c>
      <c r="B5" s="32">
        <v>22</v>
      </c>
      <c r="C5" s="32">
        <v>34</v>
      </c>
      <c r="D5" s="26">
        <f t="shared" si="0"/>
        <v>29</v>
      </c>
      <c r="E5" s="26">
        <f t="shared" si="1"/>
        <v>41</v>
      </c>
      <c r="F5" s="26">
        <v>3.5</v>
      </c>
      <c r="G5" s="6">
        <f t="shared" si="2"/>
        <v>0.29166666666666669</v>
      </c>
      <c r="H5" s="6">
        <f t="shared" si="3"/>
        <v>1.2083333333333333</v>
      </c>
      <c r="I5" s="8">
        <f t="shared" si="4"/>
        <v>2.125</v>
      </c>
    </row>
    <row r="6" spans="1:15" ht="25" customHeight="1" x14ac:dyDescent="0.25">
      <c r="A6" s="12">
        <v>30</v>
      </c>
      <c r="B6" s="34">
        <v>24</v>
      </c>
      <c r="C6" s="34">
        <v>38</v>
      </c>
      <c r="D6" s="27">
        <f t="shared" si="0"/>
        <v>31.5</v>
      </c>
      <c r="E6" s="27">
        <f t="shared" si="1"/>
        <v>45.5</v>
      </c>
      <c r="F6" s="27">
        <v>3.75</v>
      </c>
      <c r="G6" s="14">
        <f t="shared" si="2"/>
        <v>0.3125</v>
      </c>
      <c r="H6" s="14">
        <f t="shared" si="3"/>
        <v>1.3125</v>
      </c>
      <c r="I6" s="15">
        <f t="shared" si="4"/>
        <v>2.3125</v>
      </c>
    </row>
    <row r="7" spans="1:15" ht="25" customHeight="1" x14ac:dyDescent="0.25">
      <c r="A7" s="7">
        <v>33</v>
      </c>
      <c r="B7" s="32">
        <v>27</v>
      </c>
      <c r="C7" s="32">
        <v>42</v>
      </c>
      <c r="D7" s="26">
        <f t="shared" si="0"/>
        <v>34.5</v>
      </c>
      <c r="E7" s="26">
        <f t="shared" si="1"/>
        <v>49.5</v>
      </c>
      <c r="F7" s="26">
        <v>3.75</v>
      </c>
      <c r="G7" s="6">
        <f t="shared" si="2"/>
        <v>0.3125</v>
      </c>
      <c r="H7" s="6">
        <f t="shared" si="3"/>
        <v>1.4375</v>
      </c>
      <c r="I7" s="8">
        <f t="shared" si="4"/>
        <v>2.5625</v>
      </c>
    </row>
    <row r="8" spans="1:15" ht="25" customHeight="1" x14ac:dyDescent="0.25">
      <c r="A8" s="12">
        <v>36</v>
      </c>
      <c r="B8" s="34">
        <v>29</v>
      </c>
      <c r="C8" s="34">
        <v>45</v>
      </c>
      <c r="D8" s="27">
        <f t="shared" si="0"/>
        <v>38</v>
      </c>
      <c r="E8" s="27">
        <f t="shared" si="1"/>
        <v>54</v>
      </c>
      <c r="F8" s="27">
        <v>4.5</v>
      </c>
      <c r="G8" s="14">
        <f t="shared" si="2"/>
        <v>0.375</v>
      </c>
      <c r="H8" s="14">
        <f t="shared" si="3"/>
        <v>1.5833333333333333</v>
      </c>
      <c r="I8" s="15">
        <f t="shared" si="4"/>
        <v>2.7916666666666665</v>
      </c>
    </row>
    <row r="9" spans="1:15" ht="25" customHeight="1" x14ac:dyDescent="0.25">
      <c r="A9" s="7">
        <v>39</v>
      </c>
      <c r="B9" s="32">
        <v>32</v>
      </c>
      <c r="C9" s="32">
        <v>49</v>
      </c>
      <c r="D9" s="26">
        <f t="shared" si="0"/>
        <v>41.5</v>
      </c>
      <c r="E9" s="26">
        <f t="shared" si="1"/>
        <v>58.5</v>
      </c>
      <c r="F9" s="26">
        <v>4.75</v>
      </c>
      <c r="G9" s="6">
        <f t="shared" si="2"/>
        <v>0.39583333333333331</v>
      </c>
      <c r="H9" s="6">
        <f t="shared" si="3"/>
        <v>1.7291666666666667</v>
      </c>
      <c r="I9" s="8">
        <f t="shared" si="4"/>
        <v>3.0625</v>
      </c>
    </row>
    <row r="10" spans="1:15" ht="25" customHeight="1" x14ac:dyDescent="0.25">
      <c r="A10" s="12">
        <v>42</v>
      </c>
      <c r="B10" s="34">
        <v>34</v>
      </c>
      <c r="C10" s="34">
        <v>53</v>
      </c>
      <c r="D10" s="27">
        <f t="shared" si="0"/>
        <v>44</v>
      </c>
      <c r="E10" s="27">
        <f t="shared" si="1"/>
        <v>63</v>
      </c>
      <c r="F10" s="27">
        <v>5</v>
      </c>
      <c r="G10" s="14">
        <f t="shared" si="2"/>
        <v>0.41666666666666669</v>
      </c>
      <c r="H10" s="14">
        <f t="shared" si="3"/>
        <v>1.8333333333333333</v>
      </c>
      <c r="I10" s="15">
        <f t="shared" si="4"/>
        <v>3.25</v>
      </c>
    </row>
    <row r="11" spans="1:15" s="1" customFormat="1" ht="25" customHeight="1" x14ac:dyDescent="0.25">
      <c r="A11" s="7">
        <v>48</v>
      </c>
      <c r="B11" s="32">
        <v>38</v>
      </c>
      <c r="C11" s="32">
        <v>60</v>
      </c>
      <c r="D11" s="26">
        <f t="shared" si="0"/>
        <v>49</v>
      </c>
      <c r="E11" s="26">
        <f t="shared" si="1"/>
        <v>71</v>
      </c>
      <c r="F11" s="26">
        <v>5.5</v>
      </c>
      <c r="G11" s="6">
        <f t="shared" si="2"/>
        <v>0.45833333333333331</v>
      </c>
      <c r="H11" s="6">
        <f t="shared" si="3"/>
        <v>2.0416666666666665</v>
      </c>
      <c r="I11" s="8">
        <f t="shared" si="4"/>
        <v>3.625</v>
      </c>
    </row>
    <row r="12" spans="1:15" ht="25" customHeight="1" x14ac:dyDescent="0.25">
      <c r="A12" s="12">
        <v>54</v>
      </c>
      <c r="B12" s="34">
        <v>43</v>
      </c>
      <c r="C12" s="34">
        <v>68</v>
      </c>
      <c r="D12" s="27">
        <f t="shared" si="0"/>
        <v>55</v>
      </c>
      <c r="E12" s="27">
        <f t="shared" si="1"/>
        <v>80</v>
      </c>
      <c r="F12" s="27">
        <v>6</v>
      </c>
      <c r="G12" s="14">
        <f t="shared" si="2"/>
        <v>0.5</v>
      </c>
      <c r="H12" s="14">
        <f t="shared" si="3"/>
        <v>2.2916666666666665</v>
      </c>
      <c r="I12" s="15">
        <f t="shared" si="4"/>
        <v>4.083333333333333</v>
      </c>
    </row>
    <row r="13" spans="1:15" ht="25" customHeight="1" x14ac:dyDescent="0.25">
      <c r="A13" s="7">
        <v>60</v>
      </c>
      <c r="B13" s="32">
        <v>48</v>
      </c>
      <c r="C13" s="32">
        <v>76</v>
      </c>
      <c r="D13" s="26">
        <f t="shared" si="0"/>
        <v>61</v>
      </c>
      <c r="E13" s="26">
        <f t="shared" si="1"/>
        <v>89</v>
      </c>
      <c r="F13" s="26">
        <v>6.5</v>
      </c>
      <c r="G13" s="6">
        <f t="shared" si="2"/>
        <v>0.54166666666666663</v>
      </c>
      <c r="H13" s="6">
        <f t="shared" si="3"/>
        <v>2.5416666666666665</v>
      </c>
      <c r="I13" s="8">
        <f t="shared" si="4"/>
        <v>4.541666666666667</v>
      </c>
    </row>
    <row r="14" spans="1:15" ht="25" customHeight="1" x14ac:dyDescent="0.25">
      <c r="A14" s="12">
        <v>66</v>
      </c>
      <c r="B14" s="34">
        <v>53</v>
      </c>
      <c r="C14" s="34">
        <v>83</v>
      </c>
      <c r="D14" s="27">
        <f t="shared" si="0"/>
        <v>67</v>
      </c>
      <c r="E14" s="27">
        <f t="shared" si="1"/>
        <v>97</v>
      </c>
      <c r="F14" s="27">
        <v>7</v>
      </c>
      <c r="G14" s="14">
        <f t="shared" si="2"/>
        <v>0.58333333333333337</v>
      </c>
      <c r="H14" s="14">
        <f t="shared" si="3"/>
        <v>2.7916666666666665</v>
      </c>
      <c r="I14" s="15">
        <f t="shared" si="4"/>
        <v>5</v>
      </c>
    </row>
    <row r="15" spans="1:15" ht="25" customHeight="1" x14ac:dyDescent="0.25">
      <c r="A15" s="7">
        <v>72</v>
      </c>
      <c r="B15" s="32">
        <v>58</v>
      </c>
      <c r="C15" s="32">
        <v>91</v>
      </c>
      <c r="D15" s="26">
        <f t="shared" si="0"/>
        <v>73</v>
      </c>
      <c r="E15" s="26">
        <f t="shared" si="1"/>
        <v>106</v>
      </c>
      <c r="F15" s="26">
        <v>7.5</v>
      </c>
      <c r="G15" s="6">
        <f t="shared" si="2"/>
        <v>0.625</v>
      </c>
      <c r="H15" s="6">
        <f t="shared" si="3"/>
        <v>3.0416666666666665</v>
      </c>
      <c r="I15" s="8">
        <f t="shared" si="4"/>
        <v>5.458333333333333</v>
      </c>
    </row>
    <row r="16" spans="1:15" ht="25" customHeight="1" x14ac:dyDescent="0.25">
      <c r="A16" s="12">
        <v>78</v>
      </c>
      <c r="B16" s="34">
        <v>63</v>
      </c>
      <c r="C16" s="34">
        <v>98</v>
      </c>
      <c r="D16" s="27">
        <f t="shared" si="0"/>
        <v>79</v>
      </c>
      <c r="E16" s="27">
        <f t="shared" si="1"/>
        <v>114</v>
      </c>
      <c r="F16" s="27">
        <v>8</v>
      </c>
      <c r="G16" s="14">
        <f t="shared" si="2"/>
        <v>0.66666666666666663</v>
      </c>
      <c r="H16" s="14">
        <f t="shared" si="3"/>
        <v>3.2916666666666665</v>
      </c>
      <c r="I16" s="15">
        <f t="shared" si="4"/>
        <v>5.916666666666667</v>
      </c>
    </row>
    <row r="17" spans="1:9" ht="25" customHeight="1" x14ac:dyDescent="0.25">
      <c r="A17" s="7">
        <v>84</v>
      </c>
      <c r="B17" s="32">
        <v>68</v>
      </c>
      <c r="C17" s="32">
        <v>106</v>
      </c>
      <c r="D17" s="26">
        <f t="shared" si="0"/>
        <v>85</v>
      </c>
      <c r="E17" s="26">
        <f t="shared" si="1"/>
        <v>123</v>
      </c>
      <c r="F17" s="26">
        <v>8.5</v>
      </c>
      <c r="G17" s="6">
        <f t="shared" si="2"/>
        <v>0.70833333333333337</v>
      </c>
      <c r="H17" s="6">
        <f t="shared" si="3"/>
        <v>3.5416666666666665</v>
      </c>
      <c r="I17" s="8">
        <f t="shared" si="4"/>
        <v>6.375</v>
      </c>
    </row>
    <row r="18" spans="1:9" ht="25" customHeight="1" x14ac:dyDescent="0.25">
      <c r="A18" s="12">
        <v>90</v>
      </c>
      <c r="B18" s="34">
        <v>72</v>
      </c>
      <c r="C18" s="34">
        <v>113</v>
      </c>
      <c r="D18" s="27">
        <f t="shared" si="0"/>
        <v>90</v>
      </c>
      <c r="E18" s="27">
        <f t="shared" si="1"/>
        <v>131</v>
      </c>
      <c r="F18" s="27">
        <v>9</v>
      </c>
      <c r="G18" s="14">
        <f t="shared" si="2"/>
        <v>0.75</v>
      </c>
      <c r="H18" s="14">
        <f t="shared" si="3"/>
        <v>3.75</v>
      </c>
      <c r="I18" s="15">
        <f t="shared" si="4"/>
        <v>6.75</v>
      </c>
    </row>
    <row r="19" spans="1:9" ht="25" customHeight="1" x14ac:dyDescent="0.25">
      <c r="A19" s="7">
        <v>96</v>
      </c>
      <c r="B19" s="32">
        <v>77</v>
      </c>
      <c r="C19" s="32">
        <v>121</v>
      </c>
      <c r="D19" s="26">
        <f t="shared" si="0"/>
        <v>96</v>
      </c>
      <c r="E19" s="26">
        <f t="shared" si="1"/>
        <v>140</v>
      </c>
      <c r="F19" s="26">
        <v>9.5</v>
      </c>
      <c r="G19" s="6">
        <f t="shared" si="2"/>
        <v>0.79166666666666663</v>
      </c>
      <c r="H19" s="6">
        <f t="shared" si="3"/>
        <v>4</v>
      </c>
      <c r="I19" s="8">
        <f t="shared" si="4"/>
        <v>7.208333333333333</v>
      </c>
    </row>
    <row r="20" spans="1:9" ht="25" customHeight="1" x14ac:dyDescent="0.25">
      <c r="A20" s="12">
        <v>102</v>
      </c>
      <c r="B20" s="34">
        <v>82</v>
      </c>
      <c r="C20" s="34">
        <v>128</v>
      </c>
      <c r="D20" s="27">
        <f t="shared" si="0"/>
        <v>101.5</v>
      </c>
      <c r="E20" s="27">
        <f t="shared" si="1"/>
        <v>147.5</v>
      </c>
      <c r="F20" s="27">
        <v>9.75</v>
      </c>
      <c r="G20" s="14">
        <f t="shared" si="2"/>
        <v>0.8125</v>
      </c>
      <c r="H20" s="14">
        <f t="shared" si="3"/>
        <v>4.229166666666667</v>
      </c>
      <c r="I20" s="15">
        <f t="shared" si="4"/>
        <v>7.645833333333333</v>
      </c>
    </row>
    <row r="21" spans="1:9" ht="25" customHeight="1" x14ac:dyDescent="0.25">
      <c r="A21" s="7">
        <v>108</v>
      </c>
      <c r="B21" s="32">
        <v>87</v>
      </c>
      <c r="C21" s="32">
        <v>136</v>
      </c>
      <c r="D21" s="26">
        <f t="shared" si="0"/>
        <v>107</v>
      </c>
      <c r="E21" s="26">
        <f t="shared" si="1"/>
        <v>156</v>
      </c>
      <c r="F21" s="26">
        <v>10</v>
      </c>
      <c r="G21" s="6">
        <f t="shared" si="2"/>
        <v>0.83333333333333337</v>
      </c>
      <c r="H21" s="6">
        <f t="shared" si="3"/>
        <v>4.458333333333333</v>
      </c>
      <c r="I21" s="8">
        <f t="shared" si="4"/>
        <v>8.0833333333333339</v>
      </c>
    </row>
    <row r="22" spans="1:9" ht="25" customHeight="1" x14ac:dyDescent="0.25">
      <c r="A22" s="12">
        <v>114</v>
      </c>
      <c r="B22" s="34">
        <v>92</v>
      </c>
      <c r="C22" s="34">
        <v>143</v>
      </c>
      <c r="D22" s="27">
        <f t="shared" si="0"/>
        <v>113</v>
      </c>
      <c r="E22" s="27">
        <f t="shared" si="1"/>
        <v>164</v>
      </c>
      <c r="F22" s="27">
        <v>10.5</v>
      </c>
      <c r="G22" s="14">
        <f t="shared" si="2"/>
        <v>0.875</v>
      </c>
      <c r="H22" s="14">
        <f t="shared" si="3"/>
        <v>4.708333333333333</v>
      </c>
      <c r="I22" s="15">
        <f t="shared" si="4"/>
        <v>8.5416666666666661</v>
      </c>
    </row>
    <row r="23" spans="1:9" ht="25" customHeight="1" x14ac:dyDescent="0.25">
      <c r="A23" s="7">
        <v>120</v>
      </c>
      <c r="B23" s="32">
        <v>97</v>
      </c>
      <c r="C23" s="32">
        <v>151</v>
      </c>
      <c r="D23" s="26">
        <f t="shared" si="0"/>
        <v>119</v>
      </c>
      <c r="E23" s="26">
        <f t="shared" si="1"/>
        <v>173</v>
      </c>
      <c r="F23" s="26">
        <v>11</v>
      </c>
      <c r="G23" s="6">
        <f t="shared" si="2"/>
        <v>0.91666666666666663</v>
      </c>
      <c r="H23" s="6">
        <f t="shared" si="3"/>
        <v>4.958333333333333</v>
      </c>
      <c r="I23" s="8">
        <f t="shared" si="4"/>
        <v>9</v>
      </c>
    </row>
    <row r="24" spans="1:9" ht="25" customHeight="1" x14ac:dyDescent="0.25">
      <c r="A24" s="12">
        <v>132</v>
      </c>
      <c r="B24" s="34">
        <v>106</v>
      </c>
      <c r="C24" s="34">
        <v>166</v>
      </c>
      <c r="D24" s="27">
        <f t="shared" si="0"/>
        <v>130</v>
      </c>
      <c r="E24" s="27">
        <f t="shared" si="1"/>
        <v>190</v>
      </c>
      <c r="F24" s="27">
        <v>12</v>
      </c>
      <c r="G24" s="14">
        <f t="shared" si="2"/>
        <v>1</v>
      </c>
      <c r="H24" s="14">
        <f t="shared" si="3"/>
        <v>5.416666666666667</v>
      </c>
      <c r="I24" s="15">
        <f t="shared" si="4"/>
        <v>9.8333333333333339</v>
      </c>
    </row>
    <row r="25" spans="1:9" ht="25" customHeight="1" thickBot="1" x14ac:dyDescent="0.3">
      <c r="A25" s="9">
        <v>144</v>
      </c>
      <c r="B25" s="33">
        <v>116</v>
      </c>
      <c r="C25" s="33">
        <v>180</v>
      </c>
      <c r="D25" s="28">
        <f t="shared" si="0"/>
        <v>142</v>
      </c>
      <c r="E25" s="28">
        <f t="shared" si="1"/>
        <v>206</v>
      </c>
      <c r="F25" s="28">
        <v>13</v>
      </c>
      <c r="G25" s="11">
        <f t="shared" si="2"/>
        <v>1.0833333333333333</v>
      </c>
      <c r="H25" s="11">
        <f t="shared" si="3"/>
        <v>5.916666666666667</v>
      </c>
      <c r="I25" s="24">
        <f t="shared" si="4"/>
        <v>10.75</v>
      </c>
    </row>
    <row r="26" spans="1:9" ht="25" customHeight="1" x14ac:dyDescent="0.25"/>
    <row r="27" spans="1:9" ht="25" customHeight="1" x14ac:dyDescent="0.25"/>
    <row r="28" spans="1:9" ht="25" customHeight="1" x14ac:dyDescent="0.25"/>
    <row r="29" spans="1:9" ht="25" customHeight="1" x14ac:dyDescent="0.25"/>
    <row r="30" spans="1:9" ht="25" customHeight="1" x14ac:dyDescent="0.25"/>
    <row r="31" spans="1:9" ht="25" customHeight="1" x14ac:dyDescent="0.25"/>
    <row r="32" spans="1:9" ht="25" customHeight="1" x14ac:dyDescent="0.25"/>
    <row r="33" ht="25" customHeight="1" x14ac:dyDescent="0.25"/>
    <row r="34" ht="25" customHeight="1" x14ac:dyDescent="0.25"/>
    <row r="35" ht="25" customHeight="1" x14ac:dyDescent="0.25"/>
    <row r="36" ht="25" customHeight="1" x14ac:dyDescent="0.25"/>
    <row r="37" ht="25" customHeight="1" x14ac:dyDescent="0.25"/>
    <row r="38" ht="25" customHeight="1" x14ac:dyDescent="0.25"/>
    <row r="39" ht="25" customHeight="1" x14ac:dyDescent="0.25"/>
    <row r="40" ht="20.05" customHeight="1" x14ac:dyDescent="0.25"/>
    <row r="41" ht="20.05" customHeight="1" x14ac:dyDescent="0.25"/>
    <row r="42" ht="20.05" customHeight="1" x14ac:dyDescent="0.25"/>
    <row r="43" ht="20.05" customHeight="1" x14ac:dyDescent="0.25"/>
    <row r="44" ht="20.05" customHeight="1" x14ac:dyDescent="0.25"/>
    <row r="45" ht="20.05" customHeight="1" x14ac:dyDescent="0.25"/>
    <row r="46" ht="20.05" customHeight="1" x14ac:dyDescent="0.25"/>
    <row r="47" ht="20.05" customHeight="1" x14ac:dyDescent="0.25"/>
    <row r="48" ht="20.05" customHeight="1" x14ac:dyDescent="0.25"/>
    <row r="49" ht="20.05" customHeight="1" x14ac:dyDescent="0.25"/>
    <row r="50" ht="20.05" customHeight="1" x14ac:dyDescent="0.25"/>
    <row r="51" ht="20.05" customHeight="1" x14ac:dyDescent="0.25"/>
    <row r="52" ht="20.05" customHeight="1" x14ac:dyDescent="0.25"/>
    <row r="53" ht="20.05" customHeight="1" x14ac:dyDescent="0.25"/>
    <row r="54" ht="20.05" customHeight="1" x14ac:dyDescent="0.25"/>
    <row r="55" ht="20.05" customHeight="1" x14ac:dyDescent="0.25"/>
    <row r="56" ht="20.05" customHeight="1" x14ac:dyDescent="0.25"/>
    <row r="57" ht="20.05" customHeight="1" x14ac:dyDescent="0.25"/>
    <row r="58" ht="20.05" customHeight="1" x14ac:dyDescent="0.25"/>
    <row r="59" ht="20.05" customHeight="1" x14ac:dyDescent="0.25"/>
    <row r="60" ht="20.05" customHeight="1" x14ac:dyDescent="0.25"/>
    <row r="61" ht="20.05" customHeight="1" x14ac:dyDescent="0.25"/>
    <row r="62" ht="20.05" customHeight="1" x14ac:dyDescent="0.25"/>
    <row r="63" ht="20.05" customHeight="1" x14ac:dyDescent="0.25"/>
    <row r="64" ht="20.05" customHeight="1" x14ac:dyDescent="0.25"/>
    <row r="65" ht="20.05" customHeight="1" x14ac:dyDescent="0.25"/>
    <row r="66" ht="20.05" customHeight="1" x14ac:dyDescent="0.25"/>
    <row r="67" ht="20.05" customHeight="1" x14ac:dyDescent="0.25"/>
    <row r="68" ht="20.05" customHeight="1" x14ac:dyDescent="0.25"/>
    <row r="69" ht="20.05" customHeight="1" x14ac:dyDescent="0.25"/>
    <row r="70" ht="20.05" customHeight="1" x14ac:dyDescent="0.25"/>
    <row r="71" ht="20.05" customHeight="1" x14ac:dyDescent="0.25"/>
    <row r="72" ht="20.05" customHeight="1" x14ac:dyDescent="0.25"/>
    <row r="73" ht="20.05" customHeight="1" x14ac:dyDescent="0.25"/>
    <row r="74" ht="20.05" customHeight="1" x14ac:dyDescent="0.25"/>
    <row r="75" ht="20.05" customHeight="1" x14ac:dyDescent="0.25"/>
    <row r="76" ht="20.05" customHeight="1" x14ac:dyDescent="0.25"/>
    <row r="77" ht="20.05" customHeight="1" x14ac:dyDescent="0.25"/>
    <row r="78" ht="20.05" customHeight="1" x14ac:dyDescent="0.25"/>
    <row r="79" ht="20.05" customHeight="1" x14ac:dyDescent="0.25"/>
    <row r="80" ht="20.05" customHeight="1" x14ac:dyDescent="0.25"/>
    <row r="81" ht="20.05" customHeight="1" x14ac:dyDescent="0.25"/>
    <row r="82" ht="20.05" customHeight="1" x14ac:dyDescent="0.25"/>
    <row r="83" ht="20.05" customHeight="1" x14ac:dyDescent="0.25"/>
    <row r="84" ht="20.05" customHeight="1" x14ac:dyDescent="0.25"/>
    <row r="85" ht="20.05" customHeight="1" x14ac:dyDescent="0.25"/>
    <row r="86" ht="20.05" customHeight="1" x14ac:dyDescent="0.25"/>
    <row r="87" ht="20.05" customHeight="1" x14ac:dyDescent="0.25"/>
    <row r="88" ht="20.05" customHeight="1" x14ac:dyDescent="0.25"/>
    <row r="89" ht="20.05" customHeight="1" x14ac:dyDescent="0.25"/>
    <row r="90" ht="20.05" customHeight="1" x14ac:dyDescent="0.25"/>
    <row r="91" ht="20.05" customHeight="1" x14ac:dyDescent="0.25"/>
    <row r="92" ht="20.05" customHeight="1" x14ac:dyDescent="0.25"/>
    <row r="93" ht="20.05" customHeight="1" x14ac:dyDescent="0.25"/>
    <row r="94" ht="20.05" customHeight="1" x14ac:dyDescent="0.25"/>
    <row r="95" ht="20.05" customHeight="1" x14ac:dyDescent="0.25"/>
    <row r="96" ht="20.05" customHeight="1" x14ac:dyDescent="0.25"/>
    <row r="97" ht="20.05" customHeight="1" x14ac:dyDescent="0.25"/>
    <row r="98" ht="20.05" customHeight="1" x14ac:dyDescent="0.25"/>
    <row r="99" ht="20.05" customHeight="1" x14ac:dyDescent="0.25"/>
    <row r="100" ht="20.05" customHeight="1" x14ac:dyDescent="0.25"/>
    <row r="101" ht="20.05" customHeight="1" x14ac:dyDescent="0.25"/>
    <row r="102" ht="20.05" customHeight="1" x14ac:dyDescent="0.25"/>
    <row r="103" ht="20.05" customHeight="1" x14ac:dyDescent="0.25"/>
    <row r="104" ht="20.05" customHeight="1" x14ac:dyDescent="0.25"/>
    <row r="105" ht="20.05" customHeight="1" x14ac:dyDescent="0.25"/>
    <row r="106" ht="20.05" customHeight="1" x14ac:dyDescent="0.25"/>
    <row r="107" ht="20.05" customHeight="1" x14ac:dyDescent="0.25"/>
    <row r="108" ht="20.05" customHeight="1" x14ac:dyDescent="0.25"/>
    <row r="109" ht="20.05" customHeight="1" x14ac:dyDescent="0.25"/>
    <row r="110" ht="20.05" customHeight="1" x14ac:dyDescent="0.25"/>
  </sheetData>
  <mergeCells count="1">
    <mergeCell ref="A2:I2"/>
  </mergeCells>
  <hyperlinks>
    <hyperlink ref="A2:I2" r:id="rId1" display="Rinker - Reinforced Concrete Pipe" xr:uid="{00000000-0004-0000-0200-000000000000}"/>
    <hyperlink ref="E2" r:id="rId2" display="Rinker - Reinforced Concrete Pipe" xr:uid="{00000000-0004-0000-0200-000001000000}"/>
  </hyperlinks>
  <pageMargins left="0.55000000000000004" right="0.25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110"/>
  <sheetViews>
    <sheetView tabSelected="1" workbookViewId="0">
      <pane ySplit="1" topLeftCell="A2" activePane="bottomLeft" state="frozen"/>
      <selection pane="bottomLeft" activeCell="L1" sqref="L1"/>
    </sheetView>
  </sheetViews>
  <sheetFormatPr defaultColWidth="8.75" defaultRowHeight="15.15" customHeight="1" x14ac:dyDescent="0.25"/>
  <cols>
    <col min="1" max="1" width="10" style="2" customWidth="1"/>
    <col min="2" max="3" width="8.75" style="2"/>
    <col min="4" max="9" width="11" style="4" customWidth="1"/>
    <col min="10" max="10" width="8.75" style="2"/>
    <col min="11" max="12" width="8.75" style="43"/>
    <col min="13" max="13" width="8.75" style="2"/>
    <col min="14" max="14" width="8.75" style="43"/>
    <col min="15" max="16384" width="8.75" style="2"/>
  </cols>
  <sheetData>
    <row r="1" spans="1:17" s="1" customFormat="1" ht="40.1" customHeight="1" thickBot="1" x14ac:dyDescent="0.3">
      <c r="A1" s="20" t="s">
        <v>0</v>
      </c>
      <c r="B1" s="21" t="s">
        <v>3</v>
      </c>
      <c r="C1" s="21" t="s">
        <v>1</v>
      </c>
      <c r="D1" s="22" t="s">
        <v>7</v>
      </c>
      <c r="E1" s="22" t="s">
        <v>2</v>
      </c>
      <c r="F1" s="22" t="s">
        <v>8</v>
      </c>
      <c r="G1" s="22" t="s">
        <v>9</v>
      </c>
      <c r="H1" s="22" t="s">
        <v>4</v>
      </c>
      <c r="I1" s="23" t="s">
        <v>5</v>
      </c>
      <c r="K1" s="42" t="s">
        <v>64</v>
      </c>
      <c r="L1" s="42" t="s">
        <v>63</v>
      </c>
      <c r="N1" s="42" t="s">
        <v>57</v>
      </c>
      <c r="O1" s="35" t="s">
        <v>58</v>
      </c>
      <c r="P1" s="35" t="s">
        <v>59</v>
      </c>
      <c r="Q1" s="35" t="s">
        <v>60</v>
      </c>
    </row>
    <row r="2" spans="1:17" ht="25" customHeight="1" thickBot="1" x14ac:dyDescent="0.3">
      <c r="A2" s="106" t="s">
        <v>65</v>
      </c>
      <c r="B2" s="107"/>
      <c r="C2" s="107"/>
      <c r="D2" s="107"/>
      <c r="E2" s="107"/>
      <c r="F2" s="107"/>
      <c r="G2" s="107"/>
      <c r="H2" s="107"/>
      <c r="I2" s="108"/>
    </row>
    <row r="3" spans="1:17" ht="25" customHeight="1" thickBot="1" x14ac:dyDescent="0.3">
      <c r="A3" s="7">
        <v>0.5</v>
      </c>
      <c r="B3" s="5">
        <v>2022</v>
      </c>
      <c r="C3" s="5" t="s">
        <v>6</v>
      </c>
      <c r="D3" s="6">
        <v>0.84</v>
      </c>
      <c r="E3" s="6">
        <v>0.14699999999999999</v>
      </c>
      <c r="F3" s="6">
        <f>(D3-(2*E3))</f>
        <v>0.54600000000000004</v>
      </c>
      <c r="G3" s="6">
        <f>(E3/12)</f>
        <v>1.2249999999999999E-2</v>
      </c>
      <c r="H3" s="6">
        <f>((E3+(F3/2))/12)</f>
        <v>3.5000000000000003E-2</v>
      </c>
      <c r="I3" s="8">
        <f>((E3+F3)/12)</f>
        <v>5.7750000000000003E-2</v>
      </c>
      <c r="N3" s="45">
        <f t="shared" ref="N3:N10" si="0">(A3/12)</f>
        <v>4.1666666666666664E-2</v>
      </c>
      <c r="O3" s="49">
        <f t="shared" ref="O3:O10" si="1">((I3-N3)*12)</f>
        <v>0.19300000000000006</v>
      </c>
      <c r="P3" s="53">
        <f t="shared" ref="P3:P10" si="2">((I3*12)-A3/2)/12</f>
        <v>3.6916666666666674E-2</v>
      </c>
      <c r="Q3" s="41">
        <f t="shared" ref="Q3:Q10" si="3">(A3/2)/12</f>
        <v>2.0833333333333332E-2</v>
      </c>
    </row>
    <row r="4" spans="1:17" ht="25" customHeight="1" thickBot="1" x14ac:dyDescent="0.3">
      <c r="A4" s="12">
        <v>0.75</v>
      </c>
      <c r="B4" s="13">
        <v>2022</v>
      </c>
      <c r="C4" s="13" t="s">
        <v>6</v>
      </c>
      <c r="D4" s="14">
        <v>1.05</v>
      </c>
      <c r="E4" s="14">
        <v>0.154</v>
      </c>
      <c r="F4" s="14">
        <f t="shared" ref="F4:F10" si="4">(D4-(2*E4))</f>
        <v>0.74199999999999999</v>
      </c>
      <c r="G4" s="14">
        <f t="shared" ref="G4:G10" si="5">(E4/12)</f>
        <v>1.2833333333333334E-2</v>
      </c>
      <c r="H4" s="14">
        <f t="shared" ref="H4:H10" si="6">((E4+(F4/2))/12)</f>
        <v>4.3750000000000004E-2</v>
      </c>
      <c r="I4" s="15">
        <f t="shared" ref="I4:I10" si="7">((E4+F4)/12)</f>
        <v>7.4666666666666673E-2</v>
      </c>
      <c r="N4" s="46">
        <f t="shared" si="0"/>
        <v>6.25E-2</v>
      </c>
      <c r="O4" s="50">
        <f t="shared" si="1"/>
        <v>0.14600000000000007</v>
      </c>
      <c r="P4" s="59">
        <f t="shared" si="2"/>
        <v>4.341666666666668E-2</v>
      </c>
      <c r="Q4" s="57">
        <f t="shared" si="3"/>
        <v>3.125E-2</v>
      </c>
    </row>
    <row r="5" spans="1:17" ht="25" customHeight="1" thickBot="1" x14ac:dyDescent="0.3">
      <c r="A5" s="7">
        <v>1</v>
      </c>
      <c r="B5" s="5">
        <v>2022</v>
      </c>
      <c r="C5" s="5" t="s">
        <v>6</v>
      </c>
      <c r="D5" s="6">
        <v>1.3149999999999999</v>
      </c>
      <c r="E5" s="6">
        <v>0.17899999999999999</v>
      </c>
      <c r="F5" s="6">
        <f t="shared" si="4"/>
        <v>0.95699999999999996</v>
      </c>
      <c r="G5" s="6">
        <f t="shared" si="5"/>
        <v>1.4916666666666667E-2</v>
      </c>
      <c r="H5" s="6">
        <f t="shared" si="6"/>
        <v>5.4791666666666662E-2</v>
      </c>
      <c r="I5" s="8">
        <f t="shared" si="7"/>
        <v>9.4666666666666663E-2</v>
      </c>
      <c r="N5" s="47">
        <f t="shared" si="0"/>
        <v>8.3333333333333329E-2</v>
      </c>
      <c r="O5" s="51">
        <f t="shared" si="1"/>
        <v>0.13600000000000001</v>
      </c>
      <c r="P5" s="53">
        <f t="shared" si="2"/>
        <v>5.2999999999999992E-2</v>
      </c>
      <c r="Q5" s="41">
        <f t="shared" si="3"/>
        <v>4.1666666666666664E-2</v>
      </c>
    </row>
    <row r="6" spans="1:17" ht="25" customHeight="1" thickBot="1" x14ac:dyDescent="0.3">
      <c r="A6" s="12">
        <v>1.25</v>
      </c>
      <c r="B6" s="13">
        <v>2022</v>
      </c>
      <c r="C6" s="13" t="s">
        <v>6</v>
      </c>
      <c r="D6" s="14">
        <v>1.66</v>
      </c>
      <c r="E6" s="14">
        <v>0.191</v>
      </c>
      <c r="F6" s="14">
        <f t="shared" si="4"/>
        <v>1.278</v>
      </c>
      <c r="G6" s="14">
        <f t="shared" si="5"/>
        <v>1.5916666666666666E-2</v>
      </c>
      <c r="H6" s="14">
        <f t="shared" si="6"/>
        <v>6.9166666666666668E-2</v>
      </c>
      <c r="I6" s="15">
        <f t="shared" si="7"/>
        <v>0.12241666666666667</v>
      </c>
      <c r="N6" s="46">
        <f t="shared" si="0"/>
        <v>0.10416666666666667</v>
      </c>
      <c r="O6" s="50">
        <f t="shared" si="1"/>
        <v>0.21900000000000003</v>
      </c>
      <c r="P6" s="59">
        <f t="shared" si="2"/>
        <v>7.0333333333333345E-2</v>
      </c>
      <c r="Q6" s="57">
        <f t="shared" si="3"/>
        <v>5.2083333333333336E-2</v>
      </c>
    </row>
    <row r="7" spans="1:17" ht="25" customHeight="1" thickBot="1" x14ac:dyDescent="0.3">
      <c r="A7" s="7">
        <v>1.5</v>
      </c>
      <c r="B7" s="5">
        <v>2022</v>
      </c>
      <c r="C7" s="5" t="s">
        <v>6</v>
      </c>
      <c r="D7" s="6">
        <v>1.9</v>
      </c>
      <c r="E7" s="6">
        <v>0.2</v>
      </c>
      <c r="F7" s="6">
        <f t="shared" si="4"/>
        <v>1.5</v>
      </c>
      <c r="G7" s="6">
        <f t="shared" si="5"/>
        <v>1.6666666666666666E-2</v>
      </c>
      <c r="H7" s="6">
        <f t="shared" si="6"/>
        <v>7.9166666666666663E-2</v>
      </c>
      <c r="I7" s="8">
        <f t="shared" si="7"/>
        <v>0.14166666666666666</v>
      </c>
      <c r="N7" s="47">
        <f t="shared" si="0"/>
        <v>0.125</v>
      </c>
      <c r="O7" s="51">
        <f t="shared" si="1"/>
        <v>0.19999999999999996</v>
      </c>
      <c r="P7" s="53">
        <f t="shared" si="2"/>
        <v>7.9166666666666663E-2</v>
      </c>
      <c r="Q7" s="41">
        <f t="shared" si="3"/>
        <v>6.25E-2</v>
      </c>
    </row>
    <row r="8" spans="1:17" ht="25" customHeight="1" thickBot="1" x14ac:dyDescent="0.3">
      <c r="A8" s="12">
        <v>2</v>
      </c>
      <c r="B8" s="13">
        <v>2022</v>
      </c>
      <c r="C8" s="13" t="s">
        <v>6</v>
      </c>
      <c r="D8" s="14">
        <v>2.375</v>
      </c>
      <c r="E8" s="14">
        <v>0.218</v>
      </c>
      <c r="F8" s="14">
        <f t="shared" si="4"/>
        <v>1.9390000000000001</v>
      </c>
      <c r="G8" s="14">
        <f t="shared" si="5"/>
        <v>1.8166666666666668E-2</v>
      </c>
      <c r="H8" s="14">
        <f t="shared" si="6"/>
        <v>9.8958333333333329E-2</v>
      </c>
      <c r="I8" s="15">
        <f t="shared" si="7"/>
        <v>0.17974999999999999</v>
      </c>
      <c r="N8" s="62">
        <f t="shared" si="0"/>
        <v>0.16666666666666666</v>
      </c>
      <c r="O8" s="63">
        <f t="shared" si="1"/>
        <v>0.15700000000000003</v>
      </c>
      <c r="P8" s="60">
        <f t="shared" si="2"/>
        <v>9.6416666666666664E-2</v>
      </c>
      <c r="Q8" s="64">
        <f t="shared" si="3"/>
        <v>8.3333333333333329E-2</v>
      </c>
    </row>
    <row r="9" spans="1:17" ht="25" customHeight="1" thickBot="1" x14ac:dyDescent="0.3">
      <c r="A9" s="7">
        <v>2.5</v>
      </c>
      <c r="B9" s="5">
        <v>2022</v>
      </c>
      <c r="C9" s="5" t="s">
        <v>6</v>
      </c>
      <c r="D9" s="6">
        <v>2.875</v>
      </c>
      <c r="E9" s="6">
        <v>0.27600000000000002</v>
      </c>
      <c r="F9" s="6">
        <f t="shared" si="4"/>
        <v>2.323</v>
      </c>
      <c r="G9" s="6">
        <f t="shared" si="5"/>
        <v>2.3000000000000003E-2</v>
      </c>
      <c r="H9" s="6">
        <f t="shared" si="6"/>
        <v>0.11979166666666667</v>
      </c>
      <c r="I9" s="8">
        <f t="shared" si="7"/>
        <v>0.21658333333333335</v>
      </c>
      <c r="N9" s="45">
        <f t="shared" si="0"/>
        <v>0.20833333333333334</v>
      </c>
      <c r="O9" s="49">
        <f t="shared" si="1"/>
        <v>9.9000000000000088E-2</v>
      </c>
      <c r="P9" s="53">
        <f t="shared" si="2"/>
        <v>0.11241666666666668</v>
      </c>
      <c r="Q9" s="41">
        <f t="shared" si="3"/>
        <v>0.10416666666666667</v>
      </c>
    </row>
    <row r="10" spans="1:17" ht="25" customHeight="1" thickBot="1" x14ac:dyDescent="0.3">
      <c r="A10" s="12">
        <v>3</v>
      </c>
      <c r="B10" s="13">
        <v>2022</v>
      </c>
      <c r="C10" s="13" t="s">
        <v>6</v>
      </c>
      <c r="D10" s="14">
        <v>3.5</v>
      </c>
      <c r="E10" s="14">
        <v>0.3</v>
      </c>
      <c r="F10" s="14">
        <f t="shared" si="4"/>
        <v>2.9</v>
      </c>
      <c r="G10" s="14">
        <f t="shared" si="5"/>
        <v>2.4999999999999998E-2</v>
      </c>
      <c r="H10" s="14">
        <f t="shared" si="6"/>
        <v>0.14583333333333334</v>
      </c>
      <c r="I10" s="15">
        <f t="shared" si="7"/>
        <v>0.26666666666666666</v>
      </c>
      <c r="N10" s="48">
        <f t="shared" si="0"/>
        <v>0.25</v>
      </c>
      <c r="O10" s="52">
        <f t="shared" si="1"/>
        <v>0.19999999999999996</v>
      </c>
      <c r="P10" s="61">
        <f t="shared" si="2"/>
        <v>0.14166666666666669</v>
      </c>
      <c r="Q10" s="58">
        <f t="shared" si="3"/>
        <v>0.125</v>
      </c>
    </row>
    <row r="11" spans="1:17" s="1" customFormat="1" ht="25" customHeight="1" thickBot="1" x14ac:dyDescent="0.3">
      <c r="A11" s="109" t="s">
        <v>66</v>
      </c>
      <c r="B11" s="110"/>
      <c r="C11" s="110"/>
      <c r="D11" s="110"/>
      <c r="E11" s="110"/>
      <c r="F11" s="110"/>
      <c r="G11" s="110"/>
      <c r="H11" s="110"/>
      <c r="I11" s="111"/>
      <c r="K11" s="44"/>
      <c r="L11" s="44"/>
      <c r="N11" s="44"/>
      <c r="P11" s="2"/>
      <c r="Q11" s="2"/>
    </row>
    <row r="12" spans="1:17" ht="25" customHeight="1" thickBot="1" x14ac:dyDescent="0.3">
      <c r="A12" s="7">
        <v>4</v>
      </c>
      <c r="B12" s="5">
        <v>2022</v>
      </c>
      <c r="C12" s="5" t="s">
        <v>6</v>
      </c>
      <c r="D12" s="6">
        <v>4.2149999999999999</v>
      </c>
      <c r="E12" s="6">
        <v>0.12</v>
      </c>
      <c r="F12" s="6">
        <f>(D12-(2*E12))</f>
        <v>3.9749999999999996</v>
      </c>
      <c r="G12" s="6">
        <f>(E12/12)</f>
        <v>0.01</v>
      </c>
      <c r="H12" s="6">
        <f>((E12+(F12/2))/12)</f>
        <v>0.175625</v>
      </c>
      <c r="I12" s="8">
        <f>((E12+F12)/12)</f>
        <v>0.34125</v>
      </c>
      <c r="K12" s="74">
        <f>D12/12</f>
        <v>0.35125000000000001</v>
      </c>
      <c r="L12" s="74">
        <f>F12/12</f>
        <v>0.33124999999999999</v>
      </c>
      <c r="N12" s="45">
        <f t="shared" ref="N12:N17" si="8">(A12/12)</f>
        <v>0.33333333333333331</v>
      </c>
      <c r="O12" s="53">
        <f t="shared" ref="O12:O17" si="9">((I12-N12)*12)</f>
        <v>9.5000000000000195E-2</v>
      </c>
      <c r="P12" s="53">
        <f t="shared" ref="P12:P17" si="10">((I12*12)-A12/2)/12</f>
        <v>0.17458333333333331</v>
      </c>
      <c r="Q12" s="41">
        <f t="shared" ref="Q12:Q17" si="11">(A12/2)/12</f>
        <v>0.16666666666666666</v>
      </c>
    </row>
    <row r="13" spans="1:17" ht="25" customHeight="1" thickBot="1" x14ac:dyDescent="0.3">
      <c r="A13" s="12">
        <v>6</v>
      </c>
      <c r="B13" s="13">
        <v>2022</v>
      </c>
      <c r="C13" s="13" t="s">
        <v>6</v>
      </c>
      <c r="D13" s="14">
        <v>6.2750000000000004</v>
      </c>
      <c r="E13" s="14">
        <v>0.18</v>
      </c>
      <c r="F13" s="14">
        <f t="shared" ref="F13:F17" si="12">(D13-(2*E13))</f>
        <v>5.915</v>
      </c>
      <c r="G13" s="14">
        <f t="shared" ref="G13:G17" si="13">(E13/12)</f>
        <v>1.4999999999999999E-2</v>
      </c>
      <c r="H13" s="14">
        <f t="shared" ref="H13:H17" si="14">((E13+(F13/2))/12)</f>
        <v>0.26145833333333335</v>
      </c>
      <c r="I13" s="15">
        <f t="shared" ref="I13:I17" si="15">((E13+F13)/12)</f>
        <v>0.50791666666666668</v>
      </c>
      <c r="K13" s="76">
        <f t="shared" ref="K13:K26" si="16">D13/12</f>
        <v>0.5229166666666667</v>
      </c>
      <c r="L13" s="76">
        <f t="shared" ref="L13:L26" si="17">F13/12</f>
        <v>0.49291666666666667</v>
      </c>
      <c r="N13" s="46">
        <f t="shared" si="8"/>
        <v>0.5</v>
      </c>
      <c r="O13" s="54">
        <f t="shared" si="9"/>
        <v>9.5000000000000195E-2</v>
      </c>
      <c r="P13" s="59">
        <f t="shared" si="10"/>
        <v>0.25791666666666674</v>
      </c>
      <c r="Q13" s="57">
        <f t="shared" si="11"/>
        <v>0.25</v>
      </c>
    </row>
    <row r="14" spans="1:17" ht="25" customHeight="1" thickBot="1" x14ac:dyDescent="0.3">
      <c r="A14" s="7">
        <v>8</v>
      </c>
      <c r="B14" s="5">
        <v>2022</v>
      </c>
      <c r="C14" s="5" t="s">
        <v>6</v>
      </c>
      <c r="D14" s="6">
        <v>8.4</v>
      </c>
      <c r="E14" s="6">
        <v>0.24</v>
      </c>
      <c r="F14" s="6">
        <f t="shared" si="12"/>
        <v>7.92</v>
      </c>
      <c r="G14" s="6">
        <f t="shared" si="13"/>
        <v>0.02</v>
      </c>
      <c r="H14" s="6">
        <f t="shared" si="14"/>
        <v>0.35000000000000003</v>
      </c>
      <c r="I14" s="8">
        <f t="shared" si="15"/>
        <v>0.68</v>
      </c>
      <c r="K14" s="75">
        <f t="shared" si="16"/>
        <v>0.70000000000000007</v>
      </c>
      <c r="L14" s="75">
        <f t="shared" si="17"/>
        <v>0.66</v>
      </c>
      <c r="N14" s="47">
        <f t="shared" si="8"/>
        <v>0.66666666666666663</v>
      </c>
      <c r="O14" s="55">
        <f t="shared" si="9"/>
        <v>0.16000000000000103</v>
      </c>
      <c r="P14" s="53">
        <f t="shared" si="10"/>
        <v>0.34666666666666668</v>
      </c>
      <c r="Q14" s="41">
        <f t="shared" si="11"/>
        <v>0.33333333333333331</v>
      </c>
    </row>
    <row r="15" spans="1:17" ht="25" customHeight="1" thickBot="1" x14ac:dyDescent="0.3">
      <c r="A15" s="12">
        <v>10</v>
      </c>
      <c r="B15" s="13">
        <v>2022</v>
      </c>
      <c r="C15" s="13" t="s">
        <v>6</v>
      </c>
      <c r="D15" s="14">
        <v>10.5</v>
      </c>
      <c r="E15" s="14">
        <v>0.3</v>
      </c>
      <c r="F15" s="14">
        <f t="shared" si="12"/>
        <v>9.9</v>
      </c>
      <c r="G15" s="14">
        <f t="shared" si="13"/>
        <v>2.4999999999999998E-2</v>
      </c>
      <c r="H15" s="14">
        <f t="shared" si="14"/>
        <v>0.4375</v>
      </c>
      <c r="I15" s="15">
        <f t="shared" si="15"/>
        <v>0.85000000000000009</v>
      </c>
      <c r="K15" s="76">
        <f t="shared" si="16"/>
        <v>0.875</v>
      </c>
      <c r="L15" s="76">
        <f t="shared" si="17"/>
        <v>0.82500000000000007</v>
      </c>
      <c r="N15" s="46">
        <f t="shared" si="8"/>
        <v>0.83333333333333337</v>
      </c>
      <c r="O15" s="54">
        <f t="shared" si="9"/>
        <v>0.20000000000000062</v>
      </c>
      <c r="P15" s="59">
        <f t="shared" si="10"/>
        <v>0.4333333333333334</v>
      </c>
      <c r="Q15" s="57">
        <f t="shared" si="11"/>
        <v>0.41666666666666669</v>
      </c>
    </row>
    <row r="16" spans="1:17" ht="25" customHeight="1" thickBot="1" x14ac:dyDescent="0.3">
      <c r="A16" s="7">
        <v>12</v>
      </c>
      <c r="B16" s="5">
        <v>2022</v>
      </c>
      <c r="C16" s="5" t="s">
        <v>6</v>
      </c>
      <c r="D16" s="6">
        <v>12.5</v>
      </c>
      <c r="E16" s="6">
        <v>0.36</v>
      </c>
      <c r="F16" s="6">
        <f t="shared" si="12"/>
        <v>11.78</v>
      </c>
      <c r="G16" s="6">
        <f t="shared" si="13"/>
        <v>0.03</v>
      </c>
      <c r="H16" s="6">
        <f t="shared" si="14"/>
        <v>0.52083333333333337</v>
      </c>
      <c r="I16" s="8">
        <f t="shared" si="15"/>
        <v>1.0116666666666665</v>
      </c>
      <c r="K16" s="75">
        <f t="shared" si="16"/>
        <v>1.0416666666666667</v>
      </c>
      <c r="L16" s="75">
        <f t="shared" si="17"/>
        <v>0.98166666666666658</v>
      </c>
      <c r="N16" s="47">
        <f t="shared" si="8"/>
        <v>1</v>
      </c>
      <c r="O16" s="55">
        <f t="shared" si="9"/>
        <v>0.1399999999999979</v>
      </c>
      <c r="P16" s="53">
        <f t="shared" si="10"/>
        <v>0.51166666666666638</v>
      </c>
      <c r="Q16" s="41">
        <f t="shared" si="11"/>
        <v>0.5</v>
      </c>
    </row>
    <row r="17" spans="1:17" ht="25" customHeight="1" thickBot="1" x14ac:dyDescent="0.3">
      <c r="A17" s="12">
        <v>15</v>
      </c>
      <c r="B17" s="13">
        <v>2022</v>
      </c>
      <c r="C17" s="13" t="s">
        <v>6</v>
      </c>
      <c r="D17" s="14">
        <v>15.3</v>
      </c>
      <c r="E17" s="14">
        <v>0.437</v>
      </c>
      <c r="F17" s="14">
        <f t="shared" si="12"/>
        <v>14.426</v>
      </c>
      <c r="G17" s="14">
        <f t="shared" si="13"/>
        <v>3.6416666666666667E-2</v>
      </c>
      <c r="H17" s="14">
        <f t="shared" si="14"/>
        <v>0.63750000000000007</v>
      </c>
      <c r="I17" s="15">
        <f t="shared" si="15"/>
        <v>1.2385833333333334</v>
      </c>
      <c r="K17" s="77">
        <f t="shared" si="16"/>
        <v>1.2750000000000001</v>
      </c>
      <c r="L17" s="77">
        <f t="shared" si="17"/>
        <v>1.2021666666666666</v>
      </c>
      <c r="N17" s="48">
        <f t="shared" si="8"/>
        <v>1.25</v>
      </c>
      <c r="O17" s="56">
        <f t="shared" si="9"/>
        <v>-0.13699999999999957</v>
      </c>
      <c r="P17" s="61">
        <f t="shared" si="10"/>
        <v>0.61358333333333326</v>
      </c>
      <c r="Q17" s="58">
        <f t="shared" si="11"/>
        <v>0.625</v>
      </c>
    </row>
    <row r="18" spans="1:17" ht="25" customHeight="1" thickBot="1" x14ac:dyDescent="0.3">
      <c r="A18" s="106" t="s">
        <v>67</v>
      </c>
      <c r="B18" s="107"/>
      <c r="C18" s="107"/>
      <c r="D18" s="107"/>
      <c r="E18" s="107"/>
      <c r="F18" s="107"/>
      <c r="G18" s="107"/>
      <c r="H18" s="107"/>
      <c r="I18" s="108"/>
    </row>
    <row r="19" spans="1:17" ht="25" customHeight="1" thickBot="1" x14ac:dyDescent="0.3">
      <c r="A19" s="7">
        <v>18</v>
      </c>
      <c r="B19" s="5">
        <v>2022</v>
      </c>
      <c r="C19" s="5" t="s">
        <v>6</v>
      </c>
      <c r="D19" s="6">
        <v>18.701000000000001</v>
      </c>
      <c r="E19" s="6">
        <v>0.499</v>
      </c>
      <c r="F19" s="6">
        <f>(D19-(2*E19))</f>
        <v>17.702999999999999</v>
      </c>
      <c r="G19" s="6">
        <f>(E19/12)</f>
        <v>4.1583333333333333E-2</v>
      </c>
      <c r="H19" s="6">
        <f>((E19+(F19/2))/12)</f>
        <v>0.77920833333333339</v>
      </c>
      <c r="I19" s="8">
        <f>((E19+F19)/12)</f>
        <v>1.5168333333333333</v>
      </c>
      <c r="K19" s="74">
        <f t="shared" si="16"/>
        <v>1.5584166666666668</v>
      </c>
      <c r="L19" s="74">
        <f t="shared" si="17"/>
        <v>1.47525</v>
      </c>
      <c r="N19" s="45">
        <f t="shared" ref="N19:N26" si="18">(A19/12)</f>
        <v>1.5</v>
      </c>
      <c r="O19" s="53">
        <f t="shared" ref="O19:O26" si="19">((I19-N19)*12)</f>
        <v>0.20199999999999907</v>
      </c>
      <c r="P19" s="53">
        <f t="shared" ref="P19:P26" si="20">((I19*12)-A19/2)/12</f>
        <v>0.76683333333333314</v>
      </c>
      <c r="Q19" s="41">
        <f t="shared" ref="Q19:Q26" si="21">(A19/2)/12</f>
        <v>0.75</v>
      </c>
    </row>
    <row r="20" spans="1:17" ht="25" customHeight="1" thickBot="1" x14ac:dyDescent="0.3">
      <c r="A20" s="12">
        <v>21</v>
      </c>
      <c r="B20" s="13">
        <v>2022</v>
      </c>
      <c r="C20" s="13" t="s">
        <v>6</v>
      </c>
      <c r="D20" s="14">
        <v>22.047000000000001</v>
      </c>
      <c r="E20" s="14">
        <v>0.58799999999999997</v>
      </c>
      <c r="F20" s="14">
        <f t="shared" ref="F20:F26" si="22">(D20-(2*E20))</f>
        <v>20.871000000000002</v>
      </c>
      <c r="G20" s="14">
        <f t="shared" ref="G20:G26" si="23">(E20/12)</f>
        <v>4.8999999999999995E-2</v>
      </c>
      <c r="H20" s="14">
        <f t="shared" ref="H20:H26" si="24">((E20+(F20/2))/12)</f>
        <v>0.91862500000000002</v>
      </c>
      <c r="I20" s="15">
        <f t="shared" ref="I20:I26" si="25">((E20+F20)/12)</f>
        <v>1.7882500000000003</v>
      </c>
      <c r="K20" s="76">
        <f t="shared" si="16"/>
        <v>1.83725</v>
      </c>
      <c r="L20" s="76">
        <f t="shared" si="17"/>
        <v>1.7392500000000002</v>
      </c>
      <c r="N20" s="46">
        <f t="shared" si="18"/>
        <v>1.75</v>
      </c>
      <c r="O20" s="54">
        <f t="shared" si="19"/>
        <v>0.45900000000000407</v>
      </c>
      <c r="P20" s="59">
        <f t="shared" si="20"/>
        <v>0.91325000000000023</v>
      </c>
      <c r="Q20" s="57">
        <f t="shared" si="21"/>
        <v>0.875</v>
      </c>
    </row>
    <row r="21" spans="1:17" ht="25" customHeight="1" thickBot="1" x14ac:dyDescent="0.3">
      <c r="A21" s="7">
        <v>24</v>
      </c>
      <c r="B21" s="5">
        <v>2022</v>
      </c>
      <c r="C21" s="5" t="s">
        <v>6</v>
      </c>
      <c r="D21" s="6">
        <v>24.803000000000001</v>
      </c>
      <c r="E21" s="6">
        <v>0.66100000000000003</v>
      </c>
      <c r="F21" s="6">
        <f t="shared" si="22"/>
        <v>23.481000000000002</v>
      </c>
      <c r="G21" s="6">
        <f t="shared" si="23"/>
        <v>5.5083333333333338E-2</v>
      </c>
      <c r="H21" s="6">
        <f t="shared" si="24"/>
        <v>1.0334583333333334</v>
      </c>
      <c r="I21" s="8">
        <f t="shared" si="25"/>
        <v>2.0118333333333336</v>
      </c>
      <c r="K21" s="75">
        <f t="shared" si="16"/>
        <v>2.0669166666666667</v>
      </c>
      <c r="L21" s="75">
        <f t="shared" si="17"/>
        <v>1.9567500000000002</v>
      </c>
      <c r="N21" s="47">
        <f t="shared" si="18"/>
        <v>2</v>
      </c>
      <c r="O21" s="55">
        <f t="shared" si="19"/>
        <v>0.14200000000000301</v>
      </c>
      <c r="P21" s="53">
        <f t="shared" si="20"/>
        <v>1.0118333333333336</v>
      </c>
      <c r="Q21" s="41">
        <f t="shared" si="21"/>
        <v>1</v>
      </c>
    </row>
    <row r="22" spans="1:17" ht="25" customHeight="1" thickBot="1" x14ac:dyDescent="0.3">
      <c r="A22" s="12">
        <v>27</v>
      </c>
      <c r="B22" s="13">
        <v>2022</v>
      </c>
      <c r="C22" s="13" t="s">
        <v>6</v>
      </c>
      <c r="D22" s="14">
        <v>27.952999999999999</v>
      </c>
      <c r="E22" s="14">
        <v>0.745</v>
      </c>
      <c r="F22" s="14">
        <f t="shared" si="22"/>
        <v>26.463000000000001</v>
      </c>
      <c r="G22" s="14">
        <f t="shared" si="23"/>
        <v>6.2083333333333331E-2</v>
      </c>
      <c r="H22" s="14">
        <f t="shared" si="24"/>
        <v>1.1647083333333332</v>
      </c>
      <c r="I22" s="15">
        <f t="shared" si="25"/>
        <v>2.2673333333333336</v>
      </c>
      <c r="K22" s="76">
        <f t="shared" si="16"/>
        <v>2.3294166666666665</v>
      </c>
      <c r="L22" s="76">
        <f t="shared" si="17"/>
        <v>2.2052499999999999</v>
      </c>
      <c r="N22" s="46">
        <f t="shared" si="18"/>
        <v>2.25</v>
      </c>
      <c r="O22" s="54">
        <f t="shared" si="19"/>
        <v>0.20800000000000374</v>
      </c>
      <c r="P22" s="59">
        <f t="shared" si="20"/>
        <v>1.1423333333333339</v>
      </c>
      <c r="Q22" s="57">
        <f t="shared" si="21"/>
        <v>1.125</v>
      </c>
    </row>
    <row r="23" spans="1:17" ht="25" customHeight="1" thickBot="1" x14ac:dyDescent="0.3">
      <c r="A23" s="7">
        <v>30</v>
      </c>
      <c r="B23" s="5">
        <v>2022</v>
      </c>
      <c r="C23" s="5" t="s">
        <v>6</v>
      </c>
      <c r="D23" s="6">
        <v>32</v>
      </c>
      <c r="E23" s="6">
        <v>0.91500000000000004</v>
      </c>
      <c r="F23" s="6">
        <f t="shared" si="22"/>
        <v>30.17</v>
      </c>
      <c r="G23" s="6">
        <f t="shared" si="23"/>
        <v>7.6249999999999998E-2</v>
      </c>
      <c r="H23" s="6">
        <f t="shared" si="24"/>
        <v>1.3333333333333333</v>
      </c>
      <c r="I23" s="8">
        <f t="shared" si="25"/>
        <v>2.5904166666666666</v>
      </c>
      <c r="K23" s="75">
        <f t="shared" si="16"/>
        <v>2.6666666666666665</v>
      </c>
      <c r="L23" s="75">
        <f t="shared" si="17"/>
        <v>2.5141666666666667</v>
      </c>
      <c r="N23" s="47">
        <f t="shared" si="18"/>
        <v>2.5</v>
      </c>
      <c r="O23" s="55">
        <f t="shared" si="19"/>
        <v>1.0849999999999991</v>
      </c>
      <c r="P23" s="53">
        <f t="shared" si="20"/>
        <v>1.3404166666666668</v>
      </c>
      <c r="Q23" s="41">
        <f t="shared" si="21"/>
        <v>1.25</v>
      </c>
    </row>
    <row r="24" spans="1:17" ht="25" customHeight="1" thickBot="1" x14ac:dyDescent="0.3">
      <c r="A24" s="12">
        <v>36</v>
      </c>
      <c r="B24" s="13">
        <v>2022</v>
      </c>
      <c r="C24" s="13" t="s">
        <v>6</v>
      </c>
      <c r="D24" s="14">
        <v>38.299999999999997</v>
      </c>
      <c r="E24" s="14">
        <v>1.095</v>
      </c>
      <c r="F24" s="14">
        <f t="shared" si="22"/>
        <v>36.11</v>
      </c>
      <c r="G24" s="14">
        <f t="shared" si="23"/>
        <v>9.1249999999999998E-2</v>
      </c>
      <c r="H24" s="14">
        <f t="shared" si="24"/>
        <v>1.5958333333333332</v>
      </c>
      <c r="I24" s="15">
        <f t="shared" si="25"/>
        <v>3.1004166666666664</v>
      </c>
      <c r="K24" s="76">
        <f t="shared" si="16"/>
        <v>3.1916666666666664</v>
      </c>
      <c r="L24" s="76">
        <f t="shared" si="17"/>
        <v>3.0091666666666668</v>
      </c>
      <c r="N24" s="46">
        <f t="shared" si="18"/>
        <v>3</v>
      </c>
      <c r="O24" s="54">
        <f t="shared" si="19"/>
        <v>1.2049999999999965</v>
      </c>
      <c r="P24" s="59">
        <f t="shared" si="20"/>
        <v>1.6004166666666666</v>
      </c>
      <c r="Q24" s="57">
        <f t="shared" si="21"/>
        <v>1.5</v>
      </c>
    </row>
    <row r="25" spans="1:17" ht="25" customHeight="1" thickBot="1" x14ac:dyDescent="0.3">
      <c r="A25" s="7">
        <v>42</v>
      </c>
      <c r="B25" s="5">
        <v>2012</v>
      </c>
      <c r="C25" s="5" t="s">
        <v>6</v>
      </c>
      <c r="D25" s="6">
        <v>44.5</v>
      </c>
      <c r="E25" s="6">
        <v>1.1870000000000001</v>
      </c>
      <c r="F25" s="6">
        <f t="shared" si="22"/>
        <v>42.125999999999998</v>
      </c>
      <c r="G25" s="6">
        <f t="shared" si="23"/>
        <v>9.8916666666666667E-2</v>
      </c>
      <c r="H25" s="6">
        <f t="shared" si="24"/>
        <v>1.8541666666666667</v>
      </c>
      <c r="I25" s="8">
        <f t="shared" si="25"/>
        <v>3.6094166666666663</v>
      </c>
      <c r="K25" s="75">
        <f t="shared" si="16"/>
        <v>3.7083333333333335</v>
      </c>
      <c r="L25" s="75">
        <f t="shared" si="17"/>
        <v>3.5105</v>
      </c>
      <c r="N25" s="47">
        <f t="shared" si="18"/>
        <v>3.5</v>
      </c>
      <c r="O25" s="55">
        <f t="shared" si="19"/>
        <v>1.3129999999999953</v>
      </c>
      <c r="P25" s="53">
        <f t="shared" si="20"/>
        <v>1.8594166666666663</v>
      </c>
      <c r="Q25" s="41">
        <f t="shared" si="21"/>
        <v>1.75</v>
      </c>
    </row>
    <row r="26" spans="1:17" ht="25" customHeight="1" thickBot="1" x14ac:dyDescent="0.3">
      <c r="A26" s="16">
        <v>48</v>
      </c>
      <c r="B26" s="17">
        <v>2012</v>
      </c>
      <c r="C26" s="17" t="s">
        <v>6</v>
      </c>
      <c r="D26" s="18">
        <v>50.8</v>
      </c>
      <c r="E26" s="18">
        <v>1.355</v>
      </c>
      <c r="F26" s="18">
        <f t="shared" si="22"/>
        <v>48.089999999999996</v>
      </c>
      <c r="G26" s="18">
        <f t="shared" si="23"/>
        <v>0.11291666666666667</v>
      </c>
      <c r="H26" s="18">
        <f t="shared" si="24"/>
        <v>2.1166666666666667</v>
      </c>
      <c r="I26" s="19">
        <f t="shared" si="25"/>
        <v>4.1204166666666664</v>
      </c>
      <c r="K26" s="77">
        <f t="shared" si="16"/>
        <v>4.2333333333333334</v>
      </c>
      <c r="L26" s="77">
        <f t="shared" si="17"/>
        <v>4.0074999999999994</v>
      </c>
      <c r="N26" s="48">
        <f t="shared" si="18"/>
        <v>4</v>
      </c>
      <c r="O26" s="56">
        <f t="shared" si="19"/>
        <v>1.4449999999999967</v>
      </c>
      <c r="P26" s="61">
        <f t="shared" si="20"/>
        <v>2.120416666666666</v>
      </c>
      <c r="Q26" s="58">
        <f t="shared" si="21"/>
        <v>2</v>
      </c>
    </row>
    <row r="27" spans="1:17" ht="25" customHeight="1" x14ac:dyDescent="0.25"/>
    <row r="28" spans="1:17" ht="25" customHeight="1" x14ac:dyDescent="0.25"/>
    <row r="29" spans="1:17" ht="25" customHeight="1" x14ac:dyDescent="0.25"/>
    <row r="30" spans="1:17" ht="25" customHeight="1" x14ac:dyDescent="0.25"/>
    <row r="31" spans="1:17" ht="25" customHeight="1" x14ac:dyDescent="0.25"/>
    <row r="32" spans="1:17" ht="25" customHeight="1" x14ac:dyDescent="0.25"/>
    <row r="33" ht="25" customHeight="1" x14ac:dyDescent="0.25"/>
    <row r="34" ht="25" customHeight="1" x14ac:dyDescent="0.25"/>
    <row r="35" ht="25" customHeight="1" x14ac:dyDescent="0.25"/>
    <row r="36" ht="25" customHeight="1" x14ac:dyDescent="0.25"/>
    <row r="37" ht="25" customHeight="1" x14ac:dyDescent="0.25"/>
    <row r="38" ht="25" customHeight="1" x14ac:dyDescent="0.25"/>
    <row r="39" ht="25" customHeight="1" x14ac:dyDescent="0.25"/>
    <row r="40" ht="20.05" customHeight="1" x14ac:dyDescent="0.25"/>
    <row r="41" ht="20.05" customHeight="1" x14ac:dyDescent="0.25"/>
    <row r="42" ht="20.05" customHeight="1" x14ac:dyDescent="0.25"/>
    <row r="43" ht="20.05" customHeight="1" x14ac:dyDescent="0.25"/>
    <row r="44" ht="20.05" customHeight="1" x14ac:dyDescent="0.25"/>
    <row r="45" ht="20.05" customHeight="1" x14ac:dyDescent="0.25"/>
    <row r="46" ht="20.05" customHeight="1" x14ac:dyDescent="0.25"/>
    <row r="47" ht="20.05" customHeight="1" x14ac:dyDescent="0.25"/>
    <row r="48" ht="20.05" customHeight="1" x14ac:dyDescent="0.25"/>
    <row r="49" ht="20.05" customHeight="1" x14ac:dyDescent="0.25"/>
    <row r="50" ht="20.05" customHeight="1" x14ac:dyDescent="0.25"/>
    <row r="51" ht="20.05" customHeight="1" x14ac:dyDescent="0.25"/>
    <row r="52" ht="20.05" customHeight="1" x14ac:dyDescent="0.25"/>
    <row r="53" ht="20.05" customHeight="1" x14ac:dyDescent="0.25"/>
    <row r="54" ht="20.05" customHeight="1" x14ac:dyDescent="0.25"/>
    <row r="55" ht="20.05" customHeight="1" x14ac:dyDescent="0.25"/>
    <row r="56" ht="20.05" customHeight="1" x14ac:dyDescent="0.25"/>
    <row r="57" ht="20.05" customHeight="1" x14ac:dyDescent="0.25"/>
    <row r="58" ht="20.05" customHeight="1" x14ac:dyDescent="0.25"/>
    <row r="59" ht="20.05" customHeight="1" x14ac:dyDescent="0.25"/>
    <row r="60" ht="20.05" customHeight="1" x14ac:dyDescent="0.25"/>
    <row r="61" ht="20.05" customHeight="1" x14ac:dyDescent="0.25"/>
    <row r="62" ht="20.05" customHeight="1" x14ac:dyDescent="0.25"/>
    <row r="63" ht="20.05" customHeight="1" x14ac:dyDescent="0.25"/>
    <row r="64" ht="20.05" customHeight="1" x14ac:dyDescent="0.25"/>
    <row r="65" ht="20.05" customHeight="1" x14ac:dyDescent="0.25"/>
    <row r="66" ht="20.05" customHeight="1" x14ac:dyDescent="0.25"/>
    <row r="67" ht="20.05" customHeight="1" x14ac:dyDescent="0.25"/>
    <row r="68" ht="20.05" customHeight="1" x14ac:dyDescent="0.25"/>
    <row r="69" ht="20.05" customHeight="1" x14ac:dyDescent="0.25"/>
    <row r="70" ht="20.05" customHeight="1" x14ac:dyDescent="0.25"/>
    <row r="71" ht="20.05" customHeight="1" x14ac:dyDescent="0.25"/>
    <row r="72" ht="20.05" customHeight="1" x14ac:dyDescent="0.25"/>
    <row r="73" ht="20.05" customHeight="1" x14ac:dyDescent="0.25"/>
    <row r="74" ht="20.05" customHeight="1" x14ac:dyDescent="0.25"/>
    <row r="75" ht="20.05" customHeight="1" x14ac:dyDescent="0.25"/>
    <row r="76" ht="20.05" customHeight="1" x14ac:dyDescent="0.25"/>
    <row r="77" ht="20.05" customHeight="1" x14ac:dyDescent="0.25"/>
    <row r="78" ht="20.05" customHeight="1" x14ac:dyDescent="0.25"/>
    <row r="79" ht="20.05" customHeight="1" x14ac:dyDescent="0.25"/>
    <row r="80" ht="20.05" customHeight="1" x14ac:dyDescent="0.25"/>
    <row r="81" ht="20.05" customHeight="1" x14ac:dyDescent="0.25"/>
    <row r="82" ht="20.05" customHeight="1" x14ac:dyDescent="0.25"/>
    <row r="83" ht="20.05" customHeight="1" x14ac:dyDescent="0.25"/>
    <row r="84" ht="20.05" customHeight="1" x14ac:dyDescent="0.25"/>
    <row r="85" ht="20.05" customHeight="1" x14ac:dyDescent="0.25"/>
    <row r="86" ht="20.05" customHeight="1" x14ac:dyDescent="0.25"/>
    <row r="87" ht="20.05" customHeight="1" x14ac:dyDescent="0.25"/>
    <row r="88" ht="20.05" customHeight="1" x14ac:dyDescent="0.25"/>
    <row r="89" ht="20.05" customHeight="1" x14ac:dyDescent="0.25"/>
    <row r="90" ht="20.05" customHeight="1" x14ac:dyDescent="0.25"/>
    <row r="91" ht="20.05" customHeight="1" x14ac:dyDescent="0.25"/>
    <row r="92" ht="20.05" customHeight="1" x14ac:dyDescent="0.25"/>
    <row r="93" ht="20.05" customHeight="1" x14ac:dyDescent="0.25"/>
    <row r="94" ht="20.05" customHeight="1" x14ac:dyDescent="0.25"/>
    <row r="95" ht="20.05" customHeight="1" x14ac:dyDescent="0.25"/>
    <row r="96" ht="20.05" customHeight="1" x14ac:dyDescent="0.25"/>
    <row r="97" ht="20.05" customHeight="1" x14ac:dyDescent="0.25"/>
    <row r="98" ht="20.05" customHeight="1" x14ac:dyDescent="0.25"/>
    <row r="99" ht="20.05" customHeight="1" x14ac:dyDescent="0.25"/>
    <row r="100" ht="20.05" customHeight="1" x14ac:dyDescent="0.25"/>
    <row r="101" ht="20.05" customHeight="1" x14ac:dyDescent="0.25"/>
    <row r="102" ht="20.05" customHeight="1" x14ac:dyDescent="0.25"/>
    <row r="103" ht="20.05" customHeight="1" x14ac:dyDescent="0.25"/>
    <row r="104" ht="20.05" customHeight="1" x14ac:dyDescent="0.25"/>
    <row r="105" ht="20.05" customHeight="1" x14ac:dyDescent="0.25"/>
    <row r="106" ht="20.05" customHeight="1" x14ac:dyDescent="0.25"/>
    <row r="107" ht="20.05" customHeight="1" x14ac:dyDescent="0.25"/>
    <row r="108" ht="20.05" customHeight="1" x14ac:dyDescent="0.25"/>
    <row r="109" ht="20.05" customHeight="1" x14ac:dyDescent="0.25"/>
    <row r="110" ht="20.05" customHeight="1" x14ac:dyDescent="0.25"/>
  </sheetData>
  <mergeCells count="3">
    <mergeCell ref="A11:I11"/>
    <mergeCell ref="A18:I18"/>
    <mergeCell ref="A2:I2"/>
  </mergeCells>
  <hyperlinks>
    <hyperlink ref="A11:I11" r:id="rId1" display="Westlake ASTM D3034" xr:uid="{00000000-0004-0000-0300-000000000000}"/>
    <hyperlink ref="A18:H18" r:id="rId2" display="Westlake ASTM F679" xr:uid="{00000000-0004-0000-0300-000001000000}"/>
    <hyperlink ref="A2:I2" r:id="rId3" display="Westlake ASTM D1785 (SCH 80)" xr:uid="{00000000-0004-0000-0300-000002000000}"/>
  </hyperlinks>
  <pageMargins left="0.55000000000000004" right="0.25" top="0.75" bottom="0.75" header="0.3" footer="0.3"/>
  <pageSetup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101"/>
  <sheetViews>
    <sheetView workbookViewId="0">
      <pane ySplit="1" topLeftCell="A2" activePane="bottomLeft" state="frozen"/>
      <selection pane="bottomLeft" activeCell="K16" sqref="K16"/>
    </sheetView>
  </sheetViews>
  <sheetFormatPr defaultColWidth="8.75" defaultRowHeight="15.15" customHeight="1" x14ac:dyDescent="0.25"/>
  <cols>
    <col min="1" max="1" width="10" style="2" customWidth="1"/>
    <col min="2" max="3" width="8.75" style="2"/>
    <col min="4" max="9" width="11" style="4" customWidth="1"/>
    <col min="10" max="10" width="8.75" style="2"/>
    <col min="11" max="12" width="8.75" style="43"/>
    <col min="13" max="13" width="8.75" style="2"/>
    <col min="14" max="14" width="8.75" style="4"/>
    <col min="15" max="16384" width="8.75" style="2"/>
  </cols>
  <sheetData>
    <row r="1" spans="1:17" s="1" customFormat="1" ht="40.1" customHeight="1" thickBot="1" x14ac:dyDescent="0.3">
      <c r="A1" s="20" t="s">
        <v>0</v>
      </c>
      <c r="B1" s="21" t="s">
        <v>3</v>
      </c>
      <c r="C1" s="21" t="s">
        <v>1</v>
      </c>
      <c r="D1" s="22" t="s">
        <v>7</v>
      </c>
      <c r="E1" s="22" t="s">
        <v>2</v>
      </c>
      <c r="F1" s="22" t="s">
        <v>8</v>
      </c>
      <c r="G1" s="22" t="s">
        <v>9</v>
      </c>
      <c r="H1" s="22" t="s">
        <v>4</v>
      </c>
      <c r="I1" s="23" t="s">
        <v>5</v>
      </c>
      <c r="K1" s="42" t="s">
        <v>64</v>
      </c>
      <c r="L1" s="42" t="s">
        <v>63</v>
      </c>
      <c r="N1" s="35" t="s">
        <v>61</v>
      </c>
      <c r="O1" s="35" t="s">
        <v>62</v>
      </c>
      <c r="P1" s="35" t="s">
        <v>59</v>
      </c>
      <c r="Q1" s="35" t="s">
        <v>60</v>
      </c>
    </row>
    <row r="2" spans="1:17" s="1" customFormat="1" ht="25" customHeight="1" thickBot="1" x14ac:dyDescent="0.3">
      <c r="A2" s="106" t="s">
        <v>11</v>
      </c>
      <c r="B2" s="107"/>
      <c r="C2" s="107"/>
      <c r="D2" s="107"/>
      <c r="E2" s="107"/>
      <c r="F2" s="107"/>
      <c r="G2" s="107"/>
      <c r="H2" s="107"/>
      <c r="I2" s="108"/>
      <c r="K2" s="44"/>
      <c r="L2" s="44"/>
      <c r="N2" s="3"/>
    </row>
    <row r="3" spans="1:17" ht="25" customHeight="1" x14ac:dyDescent="0.25">
      <c r="A3" s="7">
        <v>4</v>
      </c>
      <c r="B3" s="5">
        <v>2022</v>
      </c>
      <c r="C3" s="5" t="s">
        <v>10</v>
      </c>
      <c r="D3" s="6">
        <v>4.8</v>
      </c>
      <c r="E3" s="6">
        <v>0.192</v>
      </c>
      <c r="F3" s="6">
        <f>(D3-(2*E3))</f>
        <v>4.4159999999999995</v>
      </c>
      <c r="G3" s="6">
        <f>(E3/12)</f>
        <v>1.6E-2</v>
      </c>
      <c r="H3" s="6">
        <f>((E3+(F3/2))/12)</f>
        <v>0.19999999999999998</v>
      </c>
      <c r="I3" s="8">
        <f>((E3+F3)/12)</f>
        <v>0.38399999999999995</v>
      </c>
      <c r="K3" s="74">
        <f>(D3/12)</f>
        <v>0.39999999999999997</v>
      </c>
      <c r="L3" s="74">
        <f>(F3/12)</f>
        <v>0.36799999999999994</v>
      </c>
      <c r="N3" s="65">
        <f t="shared" ref="N3:N14" si="0">(A3/12)</f>
        <v>0.33333333333333331</v>
      </c>
      <c r="O3" s="66">
        <f t="shared" ref="O3:O14" si="1">(I3-N3)*12</f>
        <v>0.60799999999999965</v>
      </c>
      <c r="P3" s="66">
        <f>((I3*12)-A3/2)/12</f>
        <v>0.2173333333333333</v>
      </c>
      <c r="Q3" s="67">
        <f>(A3/2)/12</f>
        <v>0.16666666666666666</v>
      </c>
    </row>
    <row r="4" spans="1:17" ht="25" customHeight="1" x14ac:dyDescent="0.25">
      <c r="A4" s="12">
        <v>6</v>
      </c>
      <c r="B4" s="13">
        <v>2022</v>
      </c>
      <c r="C4" s="13" t="s">
        <v>10</v>
      </c>
      <c r="D4" s="14">
        <v>6.9</v>
      </c>
      <c r="E4" s="14">
        <v>0.27600000000000002</v>
      </c>
      <c r="F4" s="14">
        <f t="shared" ref="F4:F14" si="2">(D4-(2*E4))</f>
        <v>6.3480000000000008</v>
      </c>
      <c r="G4" s="14">
        <f t="shared" ref="G4:G14" si="3">(E4/12)</f>
        <v>2.3000000000000003E-2</v>
      </c>
      <c r="H4" s="14">
        <f t="shared" ref="H4:H14" si="4">((E4+(F4/2))/12)</f>
        <v>0.28750000000000003</v>
      </c>
      <c r="I4" s="15">
        <f t="shared" ref="I4:I14" si="5">((E4+F4)/12)</f>
        <v>0.55200000000000005</v>
      </c>
      <c r="K4" s="76">
        <f t="shared" ref="K4:K14" si="6">(D4/12)</f>
        <v>0.57500000000000007</v>
      </c>
      <c r="L4" s="76">
        <f t="shared" ref="L4:L14" si="7">(F4/12)</f>
        <v>0.52900000000000003</v>
      </c>
      <c r="N4" s="70">
        <f t="shared" si="0"/>
        <v>0.5</v>
      </c>
      <c r="O4" s="13">
        <f t="shared" si="1"/>
        <v>0.62400000000000055</v>
      </c>
      <c r="P4" s="13">
        <f t="shared" ref="P4:P14" si="8">((I4*12)-A4/2)/12</f>
        <v>0.30200000000000005</v>
      </c>
      <c r="Q4" s="71">
        <f t="shared" ref="Q4:Q14" si="9">(A4/2)/12</f>
        <v>0.25</v>
      </c>
    </row>
    <row r="5" spans="1:17" ht="25" customHeight="1" x14ac:dyDescent="0.25">
      <c r="A5" s="7">
        <v>8</v>
      </c>
      <c r="B5" s="5">
        <v>2022</v>
      </c>
      <c r="C5" s="5" t="s">
        <v>10</v>
      </c>
      <c r="D5" s="6">
        <v>9.0500000000000007</v>
      </c>
      <c r="E5" s="6">
        <v>0.36199999999999999</v>
      </c>
      <c r="F5" s="6">
        <f t="shared" si="2"/>
        <v>8.3260000000000005</v>
      </c>
      <c r="G5" s="6">
        <f t="shared" si="3"/>
        <v>3.0166666666666665E-2</v>
      </c>
      <c r="H5" s="6">
        <f t="shared" si="4"/>
        <v>0.37708333333333338</v>
      </c>
      <c r="I5" s="8">
        <f t="shared" si="5"/>
        <v>0.72400000000000009</v>
      </c>
      <c r="K5" s="75">
        <f t="shared" si="6"/>
        <v>0.75416666666666676</v>
      </c>
      <c r="L5" s="75">
        <f t="shared" si="7"/>
        <v>0.69383333333333341</v>
      </c>
      <c r="N5" s="68">
        <f t="shared" si="0"/>
        <v>0.66666666666666663</v>
      </c>
      <c r="O5" s="5">
        <f t="shared" si="1"/>
        <v>0.6880000000000015</v>
      </c>
      <c r="P5" s="5">
        <f t="shared" si="8"/>
        <v>0.39066666666666672</v>
      </c>
      <c r="Q5" s="69">
        <f t="shared" si="9"/>
        <v>0.33333333333333331</v>
      </c>
    </row>
    <row r="6" spans="1:17" ht="25" customHeight="1" x14ac:dyDescent="0.25">
      <c r="A6" s="12">
        <v>10</v>
      </c>
      <c r="B6" s="13">
        <v>2022</v>
      </c>
      <c r="C6" s="13" t="s">
        <v>10</v>
      </c>
      <c r="D6" s="14">
        <v>11.1</v>
      </c>
      <c r="E6" s="14">
        <v>0.44400000000000001</v>
      </c>
      <c r="F6" s="14">
        <f t="shared" si="2"/>
        <v>10.212</v>
      </c>
      <c r="G6" s="14">
        <f t="shared" si="3"/>
        <v>3.6999999999999998E-2</v>
      </c>
      <c r="H6" s="14">
        <f t="shared" si="4"/>
        <v>0.46249999999999997</v>
      </c>
      <c r="I6" s="15">
        <f t="shared" si="5"/>
        <v>0.88800000000000001</v>
      </c>
      <c r="K6" s="76">
        <f t="shared" si="6"/>
        <v>0.92499999999999993</v>
      </c>
      <c r="L6" s="76">
        <f t="shared" si="7"/>
        <v>0.85099999999999998</v>
      </c>
      <c r="N6" s="70">
        <f t="shared" si="0"/>
        <v>0.83333333333333337</v>
      </c>
      <c r="O6" s="13">
        <f t="shared" si="1"/>
        <v>0.65599999999999969</v>
      </c>
      <c r="P6" s="13">
        <f t="shared" si="8"/>
        <v>0.47133333333333338</v>
      </c>
      <c r="Q6" s="71">
        <f t="shared" si="9"/>
        <v>0.41666666666666669</v>
      </c>
    </row>
    <row r="7" spans="1:17" ht="25" customHeight="1" x14ac:dyDescent="0.25">
      <c r="A7" s="7">
        <v>12</v>
      </c>
      <c r="B7" s="5">
        <v>2022</v>
      </c>
      <c r="C7" s="5" t="s">
        <v>10</v>
      </c>
      <c r="D7" s="6">
        <v>13.2</v>
      </c>
      <c r="E7" s="6">
        <v>0.52800000000000002</v>
      </c>
      <c r="F7" s="6">
        <f t="shared" si="2"/>
        <v>12.143999999999998</v>
      </c>
      <c r="G7" s="6">
        <f t="shared" si="3"/>
        <v>4.4000000000000004E-2</v>
      </c>
      <c r="H7" s="6">
        <f t="shared" si="4"/>
        <v>0.54999999999999993</v>
      </c>
      <c r="I7" s="8">
        <f t="shared" si="5"/>
        <v>1.0559999999999998</v>
      </c>
      <c r="K7" s="75">
        <f t="shared" si="6"/>
        <v>1.0999999999999999</v>
      </c>
      <c r="L7" s="75">
        <f t="shared" si="7"/>
        <v>1.0119999999999998</v>
      </c>
      <c r="N7" s="68">
        <f t="shared" si="0"/>
        <v>1</v>
      </c>
      <c r="O7" s="5">
        <f t="shared" si="1"/>
        <v>0.67199999999999793</v>
      </c>
      <c r="P7" s="5">
        <f t="shared" si="8"/>
        <v>0.55599999999999972</v>
      </c>
      <c r="Q7" s="69">
        <f t="shared" si="9"/>
        <v>0.5</v>
      </c>
    </row>
    <row r="8" spans="1:17" ht="25" customHeight="1" x14ac:dyDescent="0.25">
      <c r="A8" s="12">
        <v>14</v>
      </c>
      <c r="B8" s="13">
        <v>2022</v>
      </c>
      <c r="C8" s="13" t="s">
        <v>10</v>
      </c>
      <c r="D8" s="14">
        <v>15.3</v>
      </c>
      <c r="E8" s="14">
        <v>0.47099999999999997</v>
      </c>
      <c r="F8" s="14">
        <f t="shared" si="2"/>
        <v>14.358000000000001</v>
      </c>
      <c r="G8" s="14">
        <f t="shared" si="3"/>
        <v>3.925E-2</v>
      </c>
      <c r="H8" s="14">
        <f t="shared" si="4"/>
        <v>0.63750000000000007</v>
      </c>
      <c r="I8" s="15">
        <f t="shared" si="5"/>
        <v>1.2357500000000001</v>
      </c>
      <c r="K8" s="76">
        <f t="shared" si="6"/>
        <v>1.2750000000000001</v>
      </c>
      <c r="L8" s="76">
        <f t="shared" si="7"/>
        <v>1.1965000000000001</v>
      </c>
      <c r="N8" s="70">
        <f t="shared" si="0"/>
        <v>1.1666666666666667</v>
      </c>
      <c r="O8" s="13">
        <f t="shared" si="1"/>
        <v>0.82900000000000063</v>
      </c>
      <c r="P8" s="13">
        <f t="shared" si="8"/>
        <v>0.65241666666666676</v>
      </c>
      <c r="Q8" s="71">
        <f t="shared" si="9"/>
        <v>0.58333333333333337</v>
      </c>
    </row>
    <row r="9" spans="1:17" ht="25" customHeight="1" x14ac:dyDescent="0.25">
      <c r="A9" s="7">
        <v>16</v>
      </c>
      <c r="B9" s="5">
        <v>2022</v>
      </c>
      <c r="C9" s="5" t="s">
        <v>10</v>
      </c>
      <c r="D9" s="6">
        <v>17.399999999999999</v>
      </c>
      <c r="E9" s="6">
        <v>0.69599999999999995</v>
      </c>
      <c r="F9" s="6">
        <f t="shared" si="2"/>
        <v>16.007999999999999</v>
      </c>
      <c r="G9" s="6">
        <f t="shared" si="3"/>
        <v>5.7999999999999996E-2</v>
      </c>
      <c r="H9" s="6">
        <f t="shared" si="4"/>
        <v>0.72499999999999998</v>
      </c>
      <c r="I9" s="8">
        <f t="shared" si="5"/>
        <v>1.3920000000000001</v>
      </c>
      <c r="K9" s="75">
        <f t="shared" si="6"/>
        <v>1.45</v>
      </c>
      <c r="L9" s="75">
        <f t="shared" si="7"/>
        <v>1.3339999999999999</v>
      </c>
      <c r="N9" s="68">
        <f t="shared" si="0"/>
        <v>1.3333333333333333</v>
      </c>
      <c r="O9" s="5">
        <f t="shared" si="1"/>
        <v>0.7040000000000024</v>
      </c>
      <c r="P9" s="5">
        <f t="shared" si="8"/>
        <v>0.72533333333333339</v>
      </c>
      <c r="Q9" s="69">
        <f t="shared" si="9"/>
        <v>0.66666666666666663</v>
      </c>
    </row>
    <row r="10" spans="1:17" ht="25" customHeight="1" x14ac:dyDescent="0.25">
      <c r="A10" s="12">
        <v>18</v>
      </c>
      <c r="B10" s="13">
        <v>2022</v>
      </c>
      <c r="C10" s="13" t="s">
        <v>10</v>
      </c>
      <c r="D10" s="14">
        <v>19.5</v>
      </c>
      <c r="E10" s="14">
        <v>0.78</v>
      </c>
      <c r="F10" s="14">
        <f t="shared" si="2"/>
        <v>17.940000000000001</v>
      </c>
      <c r="G10" s="14">
        <f t="shared" si="3"/>
        <v>6.5000000000000002E-2</v>
      </c>
      <c r="H10" s="14">
        <f t="shared" si="4"/>
        <v>0.8125</v>
      </c>
      <c r="I10" s="15">
        <f t="shared" si="5"/>
        <v>1.5600000000000003</v>
      </c>
      <c r="K10" s="76">
        <f t="shared" si="6"/>
        <v>1.625</v>
      </c>
      <c r="L10" s="76">
        <f t="shared" si="7"/>
        <v>1.4950000000000001</v>
      </c>
      <c r="N10" s="70">
        <f t="shared" si="0"/>
        <v>1.5</v>
      </c>
      <c r="O10" s="13">
        <f t="shared" si="1"/>
        <v>0.7200000000000033</v>
      </c>
      <c r="P10" s="13">
        <f t="shared" si="8"/>
        <v>0.81000000000000016</v>
      </c>
      <c r="Q10" s="71">
        <f t="shared" si="9"/>
        <v>0.75</v>
      </c>
    </row>
    <row r="11" spans="1:17" ht="25" customHeight="1" x14ac:dyDescent="0.25">
      <c r="A11" s="7">
        <v>20</v>
      </c>
      <c r="B11" s="5">
        <v>2022</v>
      </c>
      <c r="C11" s="5" t="s">
        <v>10</v>
      </c>
      <c r="D11" s="6">
        <v>21.6</v>
      </c>
      <c r="E11" s="6">
        <v>0.86399999999999999</v>
      </c>
      <c r="F11" s="6">
        <f t="shared" si="2"/>
        <v>19.872</v>
      </c>
      <c r="G11" s="6">
        <f t="shared" si="3"/>
        <v>7.1999999999999995E-2</v>
      </c>
      <c r="H11" s="6">
        <f t="shared" si="4"/>
        <v>0.9</v>
      </c>
      <c r="I11" s="8">
        <f t="shared" si="5"/>
        <v>1.728</v>
      </c>
      <c r="K11" s="75">
        <f t="shared" si="6"/>
        <v>1.8</v>
      </c>
      <c r="L11" s="75">
        <f t="shared" si="7"/>
        <v>1.6559999999999999</v>
      </c>
      <c r="N11" s="68">
        <f t="shared" si="0"/>
        <v>1.6666666666666667</v>
      </c>
      <c r="O11" s="5">
        <f t="shared" si="1"/>
        <v>0.73599999999999888</v>
      </c>
      <c r="P11" s="5">
        <f t="shared" si="8"/>
        <v>0.89466666666666672</v>
      </c>
      <c r="Q11" s="69">
        <f t="shared" si="9"/>
        <v>0.83333333333333337</v>
      </c>
    </row>
    <row r="12" spans="1:17" ht="25" customHeight="1" x14ac:dyDescent="0.25">
      <c r="A12" s="12">
        <v>24</v>
      </c>
      <c r="B12" s="13">
        <v>2022</v>
      </c>
      <c r="C12" s="13" t="s">
        <v>10</v>
      </c>
      <c r="D12" s="14">
        <v>25.8</v>
      </c>
      <c r="E12" s="14">
        <v>1.032</v>
      </c>
      <c r="F12" s="14">
        <f t="shared" si="2"/>
        <v>23.736000000000001</v>
      </c>
      <c r="G12" s="14">
        <f t="shared" si="3"/>
        <v>8.6000000000000007E-2</v>
      </c>
      <c r="H12" s="14">
        <f t="shared" si="4"/>
        <v>1.075</v>
      </c>
      <c r="I12" s="15">
        <f t="shared" si="5"/>
        <v>2.0640000000000001</v>
      </c>
      <c r="K12" s="76">
        <f t="shared" si="6"/>
        <v>2.15</v>
      </c>
      <c r="L12" s="76">
        <f t="shared" si="7"/>
        <v>1.978</v>
      </c>
      <c r="N12" s="70">
        <f t="shared" si="0"/>
        <v>2</v>
      </c>
      <c r="O12" s="13">
        <f t="shared" si="1"/>
        <v>0.76800000000000068</v>
      </c>
      <c r="P12" s="13">
        <f t="shared" si="8"/>
        <v>1.0640000000000001</v>
      </c>
      <c r="Q12" s="71">
        <f t="shared" si="9"/>
        <v>1</v>
      </c>
    </row>
    <row r="13" spans="1:17" ht="25" customHeight="1" x14ac:dyDescent="0.25">
      <c r="A13" s="7">
        <v>30</v>
      </c>
      <c r="B13" s="5">
        <v>2022</v>
      </c>
      <c r="C13" s="5" t="s">
        <v>10</v>
      </c>
      <c r="D13" s="6">
        <v>32</v>
      </c>
      <c r="E13" s="6">
        <v>1.28</v>
      </c>
      <c r="F13" s="6">
        <f t="shared" si="2"/>
        <v>29.44</v>
      </c>
      <c r="G13" s="6">
        <f t="shared" si="3"/>
        <v>0.10666666666666667</v>
      </c>
      <c r="H13" s="6">
        <f t="shared" si="4"/>
        <v>1.3333333333333333</v>
      </c>
      <c r="I13" s="8">
        <f t="shared" si="5"/>
        <v>2.56</v>
      </c>
      <c r="K13" s="75">
        <f t="shared" si="6"/>
        <v>2.6666666666666665</v>
      </c>
      <c r="L13" s="75">
        <f t="shared" si="7"/>
        <v>2.4533333333333336</v>
      </c>
      <c r="N13" s="68">
        <f t="shared" si="0"/>
        <v>2.5</v>
      </c>
      <c r="O13" s="5">
        <f t="shared" si="1"/>
        <v>0.72000000000000064</v>
      </c>
      <c r="P13" s="5">
        <f t="shared" si="8"/>
        <v>1.3099999999999998</v>
      </c>
      <c r="Q13" s="69">
        <f t="shared" si="9"/>
        <v>1.25</v>
      </c>
    </row>
    <row r="14" spans="1:17" ht="25" customHeight="1" thickBot="1" x14ac:dyDescent="0.3">
      <c r="A14" s="16">
        <v>36</v>
      </c>
      <c r="B14" s="17">
        <v>2022</v>
      </c>
      <c r="C14" s="17" t="s">
        <v>10</v>
      </c>
      <c r="D14" s="18">
        <v>38.299999999999997</v>
      </c>
      <c r="E14" s="18">
        <v>1.532</v>
      </c>
      <c r="F14" s="18">
        <f t="shared" si="2"/>
        <v>35.235999999999997</v>
      </c>
      <c r="G14" s="18">
        <f t="shared" si="3"/>
        <v>0.12766666666666668</v>
      </c>
      <c r="H14" s="18">
        <f t="shared" si="4"/>
        <v>1.5958333333333332</v>
      </c>
      <c r="I14" s="19">
        <f t="shared" si="5"/>
        <v>3.0640000000000001</v>
      </c>
      <c r="K14" s="77">
        <f t="shared" si="6"/>
        <v>3.1916666666666664</v>
      </c>
      <c r="L14" s="77">
        <f t="shared" si="7"/>
        <v>2.9363333333333332</v>
      </c>
      <c r="N14" s="72">
        <f t="shared" si="0"/>
        <v>3</v>
      </c>
      <c r="O14" s="17">
        <f t="shared" si="1"/>
        <v>0.76800000000000068</v>
      </c>
      <c r="P14" s="17">
        <f t="shared" si="8"/>
        <v>1.5640000000000001</v>
      </c>
      <c r="Q14" s="73">
        <f t="shared" si="9"/>
        <v>1.5</v>
      </c>
    </row>
    <row r="15" spans="1:17" ht="25" customHeight="1" x14ac:dyDescent="0.25"/>
    <row r="16" spans="1:17" ht="25" customHeight="1" x14ac:dyDescent="0.25"/>
    <row r="17" ht="25" customHeight="1" x14ac:dyDescent="0.25"/>
    <row r="18" ht="25" customHeight="1" x14ac:dyDescent="0.25"/>
    <row r="19" ht="25" customHeight="1" x14ac:dyDescent="0.25"/>
    <row r="20" ht="25" customHeight="1" x14ac:dyDescent="0.25"/>
    <row r="21" ht="25" customHeight="1" x14ac:dyDescent="0.25"/>
    <row r="22" ht="25" customHeight="1" x14ac:dyDescent="0.25"/>
    <row r="23" ht="25" customHeight="1" x14ac:dyDescent="0.25"/>
    <row r="24" ht="25" customHeight="1" x14ac:dyDescent="0.25"/>
    <row r="25" ht="25" customHeight="1" x14ac:dyDescent="0.25"/>
    <row r="26" ht="25" customHeight="1" x14ac:dyDescent="0.25"/>
    <row r="27" ht="25" customHeight="1" x14ac:dyDescent="0.25"/>
    <row r="28" ht="25" customHeight="1" x14ac:dyDescent="0.25"/>
    <row r="29" ht="25" customHeight="1" x14ac:dyDescent="0.25"/>
    <row r="30" ht="25" customHeight="1" x14ac:dyDescent="0.25"/>
    <row r="31" ht="20.05" customHeight="1" x14ac:dyDescent="0.25"/>
    <row r="32" ht="20.05" customHeight="1" x14ac:dyDescent="0.25"/>
    <row r="33" ht="20.05" customHeight="1" x14ac:dyDescent="0.25"/>
    <row r="34" ht="20.05" customHeight="1" x14ac:dyDescent="0.25"/>
    <row r="35" ht="20.05" customHeight="1" x14ac:dyDescent="0.25"/>
    <row r="36" ht="20.05" customHeight="1" x14ac:dyDescent="0.25"/>
    <row r="37" ht="20.05" customHeight="1" x14ac:dyDescent="0.25"/>
    <row r="38" ht="20.05" customHeight="1" x14ac:dyDescent="0.25"/>
    <row r="39" ht="20.05" customHeight="1" x14ac:dyDescent="0.25"/>
    <row r="40" ht="20.05" customHeight="1" x14ac:dyDescent="0.25"/>
    <row r="41" ht="20.05" customHeight="1" x14ac:dyDescent="0.25"/>
    <row r="42" ht="20.05" customHeight="1" x14ac:dyDescent="0.25"/>
    <row r="43" ht="20.05" customHeight="1" x14ac:dyDescent="0.25"/>
    <row r="44" ht="20.05" customHeight="1" x14ac:dyDescent="0.25"/>
    <row r="45" ht="20.05" customHeight="1" x14ac:dyDescent="0.25"/>
    <row r="46" ht="20.05" customHeight="1" x14ac:dyDescent="0.25"/>
    <row r="47" ht="20.05" customHeight="1" x14ac:dyDescent="0.25"/>
    <row r="48" ht="20.05" customHeight="1" x14ac:dyDescent="0.25"/>
    <row r="49" ht="20.05" customHeight="1" x14ac:dyDescent="0.25"/>
    <row r="50" ht="20.05" customHeight="1" x14ac:dyDescent="0.25"/>
    <row r="51" ht="20.05" customHeight="1" x14ac:dyDescent="0.25"/>
    <row r="52" ht="20.05" customHeight="1" x14ac:dyDescent="0.25"/>
    <row r="53" ht="20.05" customHeight="1" x14ac:dyDescent="0.25"/>
    <row r="54" ht="20.05" customHeight="1" x14ac:dyDescent="0.25"/>
    <row r="55" ht="20.05" customHeight="1" x14ac:dyDescent="0.25"/>
    <row r="56" ht="20.05" customHeight="1" x14ac:dyDescent="0.25"/>
    <row r="57" ht="20.05" customHeight="1" x14ac:dyDescent="0.25"/>
    <row r="58" ht="20.05" customHeight="1" x14ac:dyDescent="0.25"/>
    <row r="59" ht="20.05" customHeight="1" x14ac:dyDescent="0.25"/>
    <row r="60" ht="20.05" customHeight="1" x14ac:dyDescent="0.25"/>
    <row r="61" ht="20.05" customHeight="1" x14ac:dyDescent="0.25"/>
    <row r="62" ht="20.05" customHeight="1" x14ac:dyDescent="0.25"/>
    <row r="63" ht="20.05" customHeight="1" x14ac:dyDescent="0.25"/>
    <row r="64" ht="20.05" customHeight="1" x14ac:dyDescent="0.25"/>
    <row r="65" ht="20.05" customHeight="1" x14ac:dyDescent="0.25"/>
    <row r="66" ht="20.05" customHeight="1" x14ac:dyDescent="0.25"/>
    <row r="67" ht="20.05" customHeight="1" x14ac:dyDescent="0.25"/>
    <row r="68" ht="20.05" customHeight="1" x14ac:dyDescent="0.25"/>
    <row r="69" ht="20.05" customHeight="1" x14ac:dyDescent="0.25"/>
    <row r="70" ht="20.05" customHeight="1" x14ac:dyDescent="0.25"/>
    <row r="71" ht="20.05" customHeight="1" x14ac:dyDescent="0.25"/>
    <row r="72" ht="20.05" customHeight="1" x14ac:dyDescent="0.25"/>
    <row r="73" ht="20.05" customHeight="1" x14ac:dyDescent="0.25"/>
    <row r="74" ht="20.05" customHeight="1" x14ac:dyDescent="0.25"/>
    <row r="75" ht="20.05" customHeight="1" x14ac:dyDescent="0.25"/>
    <row r="76" ht="20.05" customHeight="1" x14ac:dyDescent="0.25"/>
    <row r="77" ht="20.05" customHeight="1" x14ac:dyDescent="0.25"/>
    <row r="78" ht="20.05" customHeight="1" x14ac:dyDescent="0.25"/>
    <row r="79" ht="20.05" customHeight="1" x14ac:dyDescent="0.25"/>
    <row r="80" ht="20.05" customHeight="1" x14ac:dyDescent="0.25"/>
    <row r="81" ht="20.05" customHeight="1" x14ac:dyDescent="0.25"/>
    <row r="82" ht="20.05" customHeight="1" x14ac:dyDescent="0.25"/>
    <row r="83" ht="20.05" customHeight="1" x14ac:dyDescent="0.25"/>
    <row r="84" ht="20.05" customHeight="1" x14ac:dyDescent="0.25"/>
    <row r="85" ht="20.05" customHeight="1" x14ac:dyDescent="0.25"/>
    <row r="86" ht="20.05" customHeight="1" x14ac:dyDescent="0.25"/>
    <row r="87" ht="20.05" customHeight="1" x14ac:dyDescent="0.25"/>
    <row r="88" ht="20.05" customHeight="1" x14ac:dyDescent="0.25"/>
    <row r="89" ht="20.05" customHeight="1" x14ac:dyDescent="0.25"/>
    <row r="90" ht="20.05" customHeight="1" x14ac:dyDescent="0.25"/>
    <row r="91" ht="20.05" customHeight="1" x14ac:dyDescent="0.25"/>
    <row r="92" ht="20.05" customHeight="1" x14ac:dyDescent="0.25"/>
    <row r="93" ht="20.05" customHeight="1" x14ac:dyDescent="0.25"/>
    <row r="94" ht="20.05" customHeight="1" x14ac:dyDescent="0.25"/>
    <row r="95" ht="20.05" customHeight="1" x14ac:dyDescent="0.25"/>
    <row r="96" ht="20.05" customHeight="1" x14ac:dyDescent="0.25"/>
    <row r="97" ht="20.05" customHeight="1" x14ac:dyDescent="0.25"/>
    <row r="98" ht="20.05" customHeight="1" x14ac:dyDescent="0.25"/>
    <row r="99" ht="20.05" customHeight="1" x14ac:dyDescent="0.25"/>
    <row r="100" ht="20.05" customHeight="1" x14ac:dyDescent="0.25"/>
    <row r="101" ht="20.05" customHeight="1" x14ac:dyDescent="0.25"/>
  </sheetData>
  <mergeCells count="1">
    <mergeCell ref="A2:I2"/>
  </mergeCells>
  <hyperlinks>
    <hyperlink ref="A2:I2" r:id="rId1" display="Westlake AWWA C900" xr:uid="{00000000-0004-0000-0400-000000000000}"/>
  </hyperlinks>
  <pageMargins left="0.55000000000000004" right="0.25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Abreviations</vt:lpstr>
      <vt:lpstr>RCP</vt:lpstr>
      <vt:lpstr>HERCP</vt:lpstr>
      <vt:lpstr>PVC</vt:lpstr>
      <vt:lpstr>C900</vt:lpstr>
    </vt:vector>
  </TitlesOfParts>
  <Company>City of Las Vegas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Dwillis</dc:creator>
  <cp:lastModifiedBy>Mark Dwillis</cp:lastModifiedBy>
  <cp:lastPrinted>2023-03-15T21:36:04Z</cp:lastPrinted>
  <dcterms:created xsi:type="dcterms:W3CDTF">2023-03-15T14:35:07Z</dcterms:created>
  <dcterms:modified xsi:type="dcterms:W3CDTF">2026-03-09T17:46:08Z</dcterms:modified>
</cp:coreProperties>
</file>